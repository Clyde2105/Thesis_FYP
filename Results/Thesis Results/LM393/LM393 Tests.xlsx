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OneDrive\Desktop\One Drive\OneDrive\Documents\University\Yr 3\FYP Tezi\TEZI\Graphs\LM393\"/>
    </mc:Choice>
  </mc:AlternateContent>
  <bookViews>
    <workbookView xWindow="0" yWindow="0" windowWidth="17916" windowHeight="51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B3" i="1" l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2" i="1"/>
  <c r="CB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2" i="1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</calcChain>
</file>

<file path=xl/sharedStrings.xml><?xml version="1.0" encoding="utf-8"?>
<sst xmlns="http://schemas.openxmlformats.org/spreadsheetml/2006/main" count="26" uniqueCount="25">
  <si>
    <t>Time (ms)</t>
  </si>
  <si>
    <t>LeftTicks</t>
  </si>
  <si>
    <t>RightTicks</t>
  </si>
  <si>
    <t>RightVelocity</t>
  </si>
  <si>
    <t>LeftVelocity</t>
  </si>
  <si>
    <t>Sample No.</t>
  </si>
  <si>
    <t>Test 1 Left Ticks</t>
  </si>
  <si>
    <t>Test 1 Right Ticks</t>
  </si>
  <si>
    <t>Test 5 Right Ticks</t>
  </si>
  <si>
    <t>Test 5 Left Ticks</t>
  </si>
  <si>
    <t>Test 4 Right Ticks</t>
  </si>
  <si>
    <t>Test 4 Left Ticks</t>
  </si>
  <si>
    <t>Test 3 Right Ticks</t>
  </si>
  <si>
    <t>Test 3 Left Ticks</t>
  </si>
  <si>
    <t>Test 2 Right Ticks</t>
  </si>
  <si>
    <t>Test 2 Left Ticks</t>
  </si>
  <si>
    <t>FINAL</t>
  </si>
  <si>
    <t>Test</t>
  </si>
  <si>
    <t>Final Left</t>
  </si>
  <si>
    <t>Final Right</t>
  </si>
  <si>
    <t>Tick Difference Test 1</t>
  </si>
  <si>
    <t>Tick Difference Test 2</t>
  </si>
  <si>
    <t>Tick Difference Test 3</t>
  </si>
  <si>
    <t>Tick Difference Test 4</t>
  </si>
  <si>
    <t>Tick Difference Test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</si>
</sst>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sng" strike="noStrike" baseline="0"/>
              <a:t>Cumulative Encoder Ticks for Left and Right Motors Over Time</a:t>
            </a:r>
            <a:endParaRPr lang="en-GB" b="1" u="sng"/>
          </a:p>
        </c:rich>
      </c:tx>
      <c:layout>
        <c:manualLayout>
          <c:xMode val="edge"/>
          <c:yMode val="edge"/>
          <c:x val="0.1259254838574477"/>
          <c:y val="2.8701755518265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384132063334713E-2"/>
          <c:y val="0.15269529598788406"/>
          <c:w val="0.92723851835113991"/>
          <c:h val="0.6576258340745888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LeftTicks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Sheet1!$A$2:$A$67</c:f>
              <c:numCache>
                <c:formatCode>General</c:formatCode>
                <c:ptCount val="6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</c:numCache>
            </c:numRef>
          </c:xVal>
          <c:yVal>
            <c:numRef>
              <c:f>Sheet1!$B$2:$B$67</c:f>
              <c:numCache>
                <c:formatCode>General</c:formatCode>
                <c:ptCount val="66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10</c:v>
                </c:pt>
                <c:pt idx="4">
                  <c:v>14</c:v>
                </c:pt>
                <c:pt idx="5">
                  <c:v>19</c:v>
                </c:pt>
                <c:pt idx="6">
                  <c:v>25</c:v>
                </c:pt>
                <c:pt idx="7">
                  <c:v>33</c:v>
                </c:pt>
                <c:pt idx="8">
                  <c:v>39</c:v>
                </c:pt>
                <c:pt idx="9">
                  <c:v>46</c:v>
                </c:pt>
                <c:pt idx="10">
                  <c:v>50</c:v>
                </c:pt>
                <c:pt idx="11">
                  <c:v>54</c:v>
                </c:pt>
                <c:pt idx="12">
                  <c:v>59</c:v>
                </c:pt>
                <c:pt idx="13">
                  <c:v>63</c:v>
                </c:pt>
                <c:pt idx="14">
                  <c:v>67</c:v>
                </c:pt>
                <c:pt idx="15">
                  <c:v>71</c:v>
                </c:pt>
                <c:pt idx="16">
                  <c:v>78</c:v>
                </c:pt>
                <c:pt idx="17">
                  <c:v>82</c:v>
                </c:pt>
                <c:pt idx="18">
                  <c:v>86</c:v>
                </c:pt>
                <c:pt idx="19">
                  <c:v>91</c:v>
                </c:pt>
                <c:pt idx="20">
                  <c:v>95</c:v>
                </c:pt>
                <c:pt idx="21">
                  <c:v>99</c:v>
                </c:pt>
                <c:pt idx="22">
                  <c:v>103</c:v>
                </c:pt>
                <c:pt idx="23">
                  <c:v>110</c:v>
                </c:pt>
                <c:pt idx="24">
                  <c:v>114</c:v>
                </c:pt>
                <c:pt idx="25">
                  <c:v>118</c:v>
                </c:pt>
                <c:pt idx="26">
                  <c:v>123</c:v>
                </c:pt>
                <c:pt idx="27">
                  <c:v>127</c:v>
                </c:pt>
                <c:pt idx="28">
                  <c:v>131</c:v>
                </c:pt>
                <c:pt idx="29">
                  <c:v>136</c:v>
                </c:pt>
                <c:pt idx="30">
                  <c:v>140</c:v>
                </c:pt>
                <c:pt idx="31">
                  <c:v>144</c:v>
                </c:pt>
                <c:pt idx="32">
                  <c:v>148</c:v>
                </c:pt>
                <c:pt idx="33">
                  <c:v>153</c:v>
                </c:pt>
                <c:pt idx="34">
                  <c:v>159</c:v>
                </c:pt>
                <c:pt idx="35">
                  <c:v>163</c:v>
                </c:pt>
                <c:pt idx="36">
                  <c:v>168</c:v>
                </c:pt>
                <c:pt idx="37">
                  <c:v>172</c:v>
                </c:pt>
                <c:pt idx="38">
                  <c:v>176</c:v>
                </c:pt>
                <c:pt idx="39">
                  <c:v>181</c:v>
                </c:pt>
                <c:pt idx="40">
                  <c:v>185</c:v>
                </c:pt>
                <c:pt idx="41">
                  <c:v>189</c:v>
                </c:pt>
                <c:pt idx="42">
                  <c:v>194</c:v>
                </c:pt>
                <c:pt idx="43">
                  <c:v>198</c:v>
                </c:pt>
                <c:pt idx="44">
                  <c:v>202</c:v>
                </c:pt>
                <c:pt idx="45">
                  <c:v>207</c:v>
                </c:pt>
                <c:pt idx="46">
                  <c:v>211</c:v>
                </c:pt>
                <c:pt idx="47">
                  <c:v>215</c:v>
                </c:pt>
                <c:pt idx="48">
                  <c:v>221</c:v>
                </c:pt>
                <c:pt idx="49">
                  <c:v>226</c:v>
                </c:pt>
                <c:pt idx="50">
                  <c:v>230</c:v>
                </c:pt>
                <c:pt idx="51">
                  <c:v>235</c:v>
                </c:pt>
                <c:pt idx="52">
                  <c:v>239</c:v>
                </c:pt>
                <c:pt idx="53">
                  <c:v>247</c:v>
                </c:pt>
                <c:pt idx="54">
                  <c:v>252</c:v>
                </c:pt>
                <c:pt idx="55">
                  <c:v>260</c:v>
                </c:pt>
                <c:pt idx="56">
                  <c:v>264</c:v>
                </c:pt>
                <c:pt idx="57">
                  <c:v>268</c:v>
                </c:pt>
                <c:pt idx="58">
                  <c:v>273</c:v>
                </c:pt>
                <c:pt idx="59">
                  <c:v>279</c:v>
                </c:pt>
                <c:pt idx="60">
                  <c:v>285</c:v>
                </c:pt>
                <c:pt idx="61">
                  <c:v>292</c:v>
                </c:pt>
                <c:pt idx="62">
                  <c:v>298</c:v>
                </c:pt>
                <c:pt idx="63">
                  <c:v>302</c:v>
                </c:pt>
                <c:pt idx="64">
                  <c:v>307</c:v>
                </c:pt>
                <c:pt idx="65">
                  <c:v>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A0-41CB-95A9-DCECE114119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RightTicks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Sheet1!$A$2:$A$67</c:f>
              <c:numCache>
                <c:formatCode>General</c:formatCode>
                <c:ptCount val="6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</c:numCache>
            </c:numRef>
          </c:xVal>
          <c:yVal>
            <c:numRef>
              <c:f>Sheet1!$C$2:$C$67</c:f>
              <c:numCache>
                <c:formatCode>General</c:formatCode>
                <c:ptCount val="6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23</c:v>
                </c:pt>
                <c:pt idx="6">
                  <c:v>27</c:v>
                </c:pt>
                <c:pt idx="7">
                  <c:v>31</c:v>
                </c:pt>
                <c:pt idx="8">
                  <c:v>35</c:v>
                </c:pt>
                <c:pt idx="9">
                  <c:v>39</c:v>
                </c:pt>
                <c:pt idx="10">
                  <c:v>44</c:v>
                </c:pt>
                <c:pt idx="11">
                  <c:v>48</c:v>
                </c:pt>
                <c:pt idx="12">
                  <c:v>53</c:v>
                </c:pt>
                <c:pt idx="13">
                  <c:v>57</c:v>
                </c:pt>
                <c:pt idx="14">
                  <c:v>61</c:v>
                </c:pt>
                <c:pt idx="15">
                  <c:v>65</c:v>
                </c:pt>
                <c:pt idx="16">
                  <c:v>71</c:v>
                </c:pt>
                <c:pt idx="17">
                  <c:v>76</c:v>
                </c:pt>
                <c:pt idx="18">
                  <c:v>80</c:v>
                </c:pt>
                <c:pt idx="19">
                  <c:v>84</c:v>
                </c:pt>
                <c:pt idx="20">
                  <c:v>89</c:v>
                </c:pt>
                <c:pt idx="21">
                  <c:v>93</c:v>
                </c:pt>
                <c:pt idx="22">
                  <c:v>97</c:v>
                </c:pt>
                <c:pt idx="23">
                  <c:v>101</c:v>
                </c:pt>
                <c:pt idx="24">
                  <c:v>106</c:v>
                </c:pt>
                <c:pt idx="25">
                  <c:v>110</c:v>
                </c:pt>
                <c:pt idx="26">
                  <c:v>114</c:v>
                </c:pt>
                <c:pt idx="27">
                  <c:v>119</c:v>
                </c:pt>
                <c:pt idx="28">
                  <c:v>123</c:v>
                </c:pt>
                <c:pt idx="29">
                  <c:v>127</c:v>
                </c:pt>
                <c:pt idx="30">
                  <c:v>133</c:v>
                </c:pt>
                <c:pt idx="31">
                  <c:v>138</c:v>
                </c:pt>
                <c:pt idx="32">
                  <c:v>144</c:v>
                </c:pt>
                <c:pt idx="33">
                  <c:v>149</c:v>
                </c:pt>
                <c:pt idx="34">
                  <c:v>153</c:v>
                </c:pt>
                <c:pt idx="35">
                  <c:v>157</c:v>
                </c:pt>
                <c:pt idx="36">
                  <c:v>161</c:v>
                </c:pt>
                <c:pt idx="37">
                  <c:v>165</c:v>
                </c:pt>
                <c:pt idx="38">
                  <c:v>170</c:v>
                </c:pt>
                <c:pt idx="39">
                  <c:v>174</c:v>
                </c:pt>
                <c:pt idx="40">
                  <c:v>179</c:v>
                </c:pt>
                <c:pt idx="41">
                  <c:v>183</c:v>
                </c:pt>
                <c:pt idx="42">
                  <c:v>187</c:v>
                </c:pt>
                <c:pt idx="43">
                  <c:v>191</c:v>
                </c:pt>
                <c:pt idx="44">
                  <c:v>195</c:v>
                </c:pt>
                <c:pt idx="45">
                  <c:v>200</c:v>
                </c:pt>
                <c:pt idx="46">
                  <c:v>204</c:v>
                </c:pt>
                <c:pt idx="47">
                  <c:v>211</c:v>
                </c:pt>
                <c:pt idx="48">
                  <c:v>217</c:v>
                </c:pt>
                <c:pt idx="49">
                  <c:v>221</c:v>
                </c:pt>
                <c:pt idx="50">
                  <c:v>225</c:v>
                </c:pt>
                <c:pt idx="51">
                  <c:v>230</c:v>
                </c:pt>
                <c:pt idx="52">
                  <c:v>234</c:v>
                </c:pt>
                <c:pt idx="53">
                  <c:v>241</c:v>
                </c:pt>
                <c:pt idx="54">
                  <c:v>245</c:v>
                </c:pt>
                <c:pt idx="55">
                  <c:v>249</c:v>
                </c:pt>
                <c:pt idx="56">
                  <c:v>253</c:v>
                </c:pt>
                <c:pt idx="57">
                  <c:v>258</c:v>
                </c:pt>
                <c:pt idx="58">
                  <c:v>266</c:v>
                </c:pt>
                <c:pt idx="59">
                  <c:v>270</c:v>
                </c:pt>
                <c:pt idx="60">
                  <c:v>275</c:v>
                </c:pt>
                <c:pt idx="61">
                  <c:v>279</c:v>
                </c:pt>
                <c:pt idx="62">
                  <c:v>283</c:v>
                </c:pt>
                <c:pt idx="63">
                  <c:v>289</c:v>
                </c:pt>
                <c:pt idx="64">
                  <c:v>294</c:v>
                </c:pt>
                <c:pt idx="65">
                  <c:v>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A0-41CB-95A9-DCECE1141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733752"/>
        <c:axId val="505654728"/>
      </c:scatterChart>
      <c:valAx>
        <c:axId val="504733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Time</a:t>
                </a:r>
                <a:r>
                  <a:rPr lang="en-GB" sz="1200" baseline="0"/>
                  <a:t> (ms)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54728"/>
        <c:crosses val="autoZero"/>
        <c:crossBetween val="midCat"/>
      </c:valAx>
      <c:valAx>
        <c:axId val="50565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Cumulative Encoder Ticks</a:t>
                </a:r>
              </a:p>
            </c:rich>
          </c:tx>
          <c:layout>
            <c:manualLayout>
              <c:xMode val="edge"/>
              <c:yMode val="edge"/>
              <c:x val="2.262708945690976E-3"/>
              <c:y val="0.21486865883567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733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124615729444368"/>
          <c:y val="3.6878791790370472E-2"/>
          <c:w val="0.16202568667576586"/>
          <c:h val="6.916032012391894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 u="sng"/>
              <a:t>Acceleration Curve (Velocity)</a:t>
            </a:r>
          </a:p>
        </c:rich>
      </c:tx>
      <c:layout>
        <c:manualLayout>
          <c:xMode val="edge"/>
          <c:yMode val="edge"/>
          <c:x val="0.23720090293453724"/>
          <c:y val="4.10509031198686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298917459473052E-2"/>
          <c:y val="0.15225779967159278"/>
          <c:w val="0.92299232638724416"/>
          <c:h val="0.6600435721396894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LeftVelocity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Sheet1!$A$2:$A$67</c:f>
              <c:numCache>
                <c:formatCode>General</c:formatCode>
                <c:ptCount val="6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</c:numCache>
            </c:numRef>
          </c:xVal>
          <c:yVal>
            <c:numRef>
              <c:f>Sheet1!$E$2:$E$67</c:f>
              <c:numCache>
                <c:formatCode>General</c:formatCode>
                <c:ptCount val="6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6</c:v>
                </c:pt>
                <c:pt idx="9">
                  <c:v>7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7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5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4</c:v>
                </c:pt>
                <c:pt idx="36">
                  <c:v>5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4</c:v>
                </c:pt>
                <c:pt idx="44">
                  <c:v>4</c:v>
                </c:pt>
                <c:pt idx="45">
                  <c:v>5</c:v>
                </c:pt>
                <c:pt idx="46">
                  <c:v>4</c:v>
                </c:pt>
                <c:pt idx="47">
                  <c:v>4</c:v>
                </c:pt>
                <c:pt idx="48">
                  <c:v>6</c:v>
                </c:pt>
                <c:pt idx="49">
                  <c:v>5</c:v>
                </c:pt>
                <c:pt idx="50">
                  <c:v>4</c:v>
                </c:pt>
                <c:pt idx="51">
                  <c:v>5</c:v>
                </c:pt>
                <c:pt idx="52">
                  <c:v>4</c:v>
                </c:pt>
                <c:pt idx="53">
                  <c:v>8</c:v>
                </c:pt>
                <c:pt idx="54">
                  <c:v>5</c:v>
                </c:pt>
                <c:pt idx="55">
                  <c:v>8</c:v>
                </c:pt>
                <c:pt idx="56">
                  <c:v>4</c:v>
                </c:pt>
                <c:pt idx="57">
                  <c:v>4</c:v>
                </c:pt>
                <c:pt idx="58">
                  <c:v>5</c:v>
                </c:pt>
                <c:pt idx="59">
                  <c:v>6</c:v>
                </c:pt>
                <c:pt idx="60">
                  <c:v>6</c:v>
                </c:pt>
                <c:pt idx="61">
                  <c:v>7</c:v>
                </c:pt>
                <c:pt idx="62">
                  <c:v>6</c:v>
                </c:pt>
                <c:pt idx="63">
                  <c:v>4</c:v>
                </c:pt>
                <c:pt idx="64">
                  <c:v>5</c:v>
                </c:pt>
                <c:pt idx="6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AD-48CB-BAF5-09CF489260A7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RightVelocity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Sheet1!$A$2:$A$67</c:f>
              <c:numCache>
                <c:formatCode>General</c:formatCode>
                <c:ptCount val="6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</c:numCache>
            </c:numRef>
          </c:xVal>
          <c:yVal>
            <c:numRef>
              <c:f>Sheet1!$F$2:$F$67</c:f>
              <c:numCache>
                <c:formatCode>General</c:formatCode>
                <c:ptCount val="66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4</c:v>
                </c:pt>
                <c:pt idx="29">
                  <c:v>4</c:v>
                </c:pt>
                <c:pt idx="30">
                  <c:v>6</c:v>
                </c:pt>
                <c:pt idx="31">
                  <c:v>5</c:v>
                </c:pt>
                <c:pt idx="32">
                  <c:v>6</c:v>
                </c:pt>
                <c:pt idx="33">
                  <c:v>5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5</c:v>
                </c:pt>
                <c:pt idx="46">
                  <c:v>4</c:v>
                </c:pt>
                <c:pt idx="47">
                  <c:v>7</c:v>
                </c:pt>
                <c:pt idx="48">
                  <c:v>6</c:v>
                </c:pt>
                <c:pt idx="49">
                  <c:v>4</c:v>
                </c:pt>
                <c:pt idx="50">
                  <c:v>4</c:v>
                </c:pt>
                <c:pt idx="51">
                  <c:v>5</c:v>
                </c:pt>
                <c:pt idx="52">
                  <c:v>4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5</c:v>
                </c:pt>
                <c:pt idx="58">
                  <c:v>8</c:v>
                </c:pt>
                <c:pt idx="59">
                  <c:v>4</c:v>
                </c:pt>
                <c:pt idx="60">
                  <c:v>5</c:v>
                </c:pt>
                <c:pt idx="61">
                  <c:v>4</c:v>
                </c:pt>
                <c:pt idx="62">
                  <c:v>4</c:v>
                </c:pt>
                <c:pt idx="63">
                  <c:v>6</c:v>
                </c:pt>
                <c:pt idx="64">
                  <c:v>5</c:v>
                </c:pt>
                <c:pt idx="6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AD-48CB-BAF5-09CF4892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06088"/>
        <c:axId val="569806416"/>
      </c:scatterChart>
      <c:valAx>
        <c:axId val="56980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Time (ms)</a:t>
                </a:r>
              </a:p>
            </c:rich>
          </c:tx>
          <c:layout>
            <c:manualLayout>
              <c:xMode val="edge"/>
              <c:yMode val="edge"/>
              <c:x val="0.46887923715690094"/>
              <c:y val="0.886926629073486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806416"/>
        <c:crosses val="autoZero"/>
        <c:crossBetween val="midCat"/>
      </c:valAx>
      <c:valAx>
        <c:axId val="56980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Velocity (Ticks per 100ms)</a:t>
                </a:r>
              </a:p>
            </c:rich>
          </c:tx>
          <c:layout>
            <c:manualLayout>
              <c:xMode val="edge"/>
              <c:yMode val="edge"/>
              <c:x val="1.2583121695627935E-2"/>
              <c:y val="0.211745192739977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806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53729937256715"/>
          <c:y val="5.2236789366846441E-2"/>
          <c:w val="0.19389053259827946"/>
          <c:h val="6.8821851999332065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Motor Encoder Tick Progression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Sheet1!$AD$1</c:f>
              <c:strCache>
                <c:ptCount val="1"/>
                <c:pt idx="0">
                  <c:v>Test 1 Left Ticks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Sheet1!$AB$2:$AB$51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FINAL</c:v>
                </c:pt>
              </c:strCache>
            </c:strRef>
          </c:cat>
          <c:val>
            <c:numRef>
              <c:f>Sheet1!$AD$2:$AD$51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12</c:v>
                </c:pt>
                <c:pt idx="28">
                  <c:v>12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16</c:v>
                </c:pt>
                <c:pt idx="38">
                  <c:v>16</c:v>
                </c:pt>
                <c:pt idx="39">
                  <c:v>17</c:v>
                </c:pt>
                <c:pt idx="40">
                  <c:v>18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0D-4147-94B0-30DEC071359A}"/>
            </c:ext>
          </c:extLst>
        </c:ser>
        <c:ser>
          <c:idx val="1"/>
          <c:order val="1"/>
          <c:tx>
            <c:strRef>
              <c:f>Sheet1!$AE$1</c:f>
              <c:strCache>
                <c:ptCount val="1"/>
                <c:pt idx="0">
                  <c:v>Test 1 Right Ticks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Sheet1!$AB$2:$AB$51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FINAL</c:v>
                </c:pt>
              </c:strCache>
            </c:strRef>
          </c:cat>
          <c:val>
            <c:numRef>
              <c:f>Sheet1!$AE$2:$AE$51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11</c:v>
                </c:pt>
                <c:pt idx="31">
                  <c:v>11</c:v>
                </c:pt>
                <c:pt idx="32">
                  <c:v>12</c:v>
                </c:pt>
                <c:pt idx="33">
                  <c:v>13</c:v>
                </c:pt>
                <c:pt idx="34">
                  <c:v>13</c:v>
                </c:pt>
                <c:pt idx="35">
                  <c:v>14</c:v>
                </c:pt>
                <c:pt idx="36">
                  <c:v>14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16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18</c:v>
                </c:pt>
                <c:pt idx="46">
                  <c:v>18</c:v>
                </c:pt>
                <c:pt idx="47">
                  <c:v>19</c:v>
                </c:pt>
                <c:pt idx="48">
                  <c:v>19</c:v>
                </c:pt>
                <c:pt idx="4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0D-4147-94B0-30DEC0713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796336"/>
        <c:axId val="538798304"/>
      </c:lineChart>
      <c:catAx>
        <c:axId val="538796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 Number</a:t>
                </a:r>
              </a:p>
            </c:rich>
          </c:tx>
          <c:layout>
            <c:manualLayout>
              <c:xMode val="edge"/>
              <c:yMode val="edge"/>
              <c:x val="0.45119918465306658"/>
              <c:y val="0.804720341100411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798304"/>
        <c:crosses val="autoZero"/>
        <c:auto val="1"/>
        <c:lblAlgn val="ctr"/>
        <c:lblOffset val="100"/>
        <c:noMultiLvlLbl val="0"/>
      </c:catAx>
      <c:valAx>
        <c:axId val="53879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Encoder Tick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79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Motor Encoder Tick</a:t>
            </a:r>
            <a:r>
              <a:rPr lang="en-GB" sz="1800" b="0" i="0" baseline="0">
                <a:effectLst/>
              </a:rPr>
              <a:t> 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Progression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Sheet1!$AG$1</c:f>
              <c:strCache>
                <c:ptCount val="1"/>
                <c:pt idx="0">
                  <c:v>Test 2 Left Ticks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Sheet1!$AB$2:$AB$51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FINAL</c:v>
                </c:pt>
              </c:strCache>
            </c:strRef>
          </c:cat>
          <c:val>
            <c:numRef>
              <c:f>Sheet1!$AG$2:$AG$51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13</c:v>
                </c:pt>
                <c:pt idx="30">
                  <c:v>13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17</c:v>
                </c:pt>
                <c:pt idx="40">
                  <c:v>17</c:v>
                </c:pt>
                <c:pt idx="41">
                  <c:v>18</c:v>
                </c:pt>
                <c:pt idx="42">
                  <c:v>18</c:v>
                </c:pt>
                <c:pt idx="43">
                  <c:v>19</c:v>
                </c:pt>
                <c:pt idx="44">
                  <c:v>19</c:v>
                </c:pt>
                <c:pt idx="4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22-4AC0-8190-315BD0B80553}"/>
            </c:ext>
          </c:extLst>
        </c:ser>
        <c:ser>
          <c:idx val="1"/>
          <c:order val="1"/>
          <c:tx>
            <c:strRef>
              <c:f>Sheet1!$AH$1</c:f>
              <c:strCache>
                <c:ptCount val="1"/>
                <c:pt idx="0">
                  <c:v>Test 2 Right Ticks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Sheet1!$AB$2:$AB$51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FINAL</c:v>
                </c:pt>
              </c:strCache>
            </c:strRef>
          </c:cat>
          <c:val>
            <c:numRef>
              <c:f>Sheet1!$AH$2:$AH$51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22-4AC0-8190-315BD0B80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784024"/>
        <c:axId val="286784680"/>
      </c:lineChart>
      <c:catAx>
        <c:axId val="286784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 Number</a:t>
                </a:r>
              </a:p>
            </c:rich>
          </c:tx>
          <c:layout>
            <c:manualLayout>
              <c:xMode val="edge"/>
              <c:yMode val="edge"/>
              <c:x val="0.45123177775514428"/>
              <c:y val="0.79326075952168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84680"/>
        <c:crosses val="autoZero"/>
        <c:auto val="1"/>
        <c:lblAlgn val="ctr"/>
        <c:lblOffset val="100"/>
        <c:noMultiLvlLbl val="0"/>
      </c:catAx>
      <c:valAx>
        <c:axId val="28678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Encoder Tick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84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Motor Encoder</a:t>
            </a:r>
            <a:r>
              <a:rPr lang="en-GB" baseline="0"/>
              <a:t> Tick Progression 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Sheet1!$AJ$1</c:f>
              <c:strCache>
                <c:ptCount val="1"/>
                <c:pt idx="0">
                  <c:v>Test 3 Left Ticks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Sheet1!$AB$2:$AB$51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FINAL</c:v>
                </c:pt>
              </c:strCache>
            </c:strRef>
          </c:cat>
          <c:val>
            <c:numRef>
              <c:f>Sheet1!$AJ$2:$AJ$51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4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5-4994-A255-F40E65CEFCF7}"/>
            </c:ext>
          </c:extLst>
        </c:ser>
        <c:ser>
          <c:idx val="1"/>
          <c:order val="1"/>
          <c:tx>
            <c:strRef>
              <c:f>Sheet1!$AK$1</c:f>
              <c:strCache>
                <c:ptCount val="1"/>
                <c:pt idx="0">
                  <c:v>Test 3 Right Ticks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Sheet1!$AB$2:$AB$51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FINAL</c:v>
                </c:pt>
              </c:strCache>
            </c:strRef>
          </c:cat>
          <c:val>
            <c:numRef>
              <c:f>Sheet1!$AK$2:$AK$51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4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65-4994-A255-F40E65CEF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499664"/>
        <c:axId val="339500648"/>
      </c:lineChart>
      <c:catAx>
        <c:axId val="33949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 Number</a:t>
                </a:r>
              </a:p>
            </c:rich>
          </c:tx>
          <c:layout>
            <c:manualLayout>
              <c:xMode val="edge"/>
              <c:yMode val="edge"/>
              <c:x val="0.45096340864135842"/>
              <c:y val="0.826649193770739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500648"/>
        <c:crosses val="autoZero"/>
        <c:auto val="1"/>
        <c:lblAlgn val="ctr"/>
        <c:lblOffset val="100"/>
        <c:noMultiLvlLbl val="0"/>
      </c:catAx>
      <c:valAx>
        <c:axId val="339500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Encoder Tick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49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Motor Encoder Tick Progression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Sheet1!$AM$1</c:f>
              <c:strCache>
                <c:ptCount val="1"/>
                <c:pt idx="0">
                  <c:v>Test 4 Left Ticks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Sheet1!$AB$2:$AB$51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FINAL</c:v>
                </c:pt>
              </c:strCache>
            </c:strRef>
          </c:cat>
          <c:val>
            <c:numRef>
              <c:f>Sheet1!$AM$2:$AM$51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13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18</c:v>
                </c:pt>
                <c:pt idx="40">
                  <c:v>18</c:v>
                </c:pt>
                <c:pt idx="41">
                  <c:v>19</c:v>
                </c:pt>
                <c:pt idx="42">
                  <c:v>19</c:v>
                </c:pt>
                <c:pt idx="4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7-4212-9C15-4DB481EF3516}"/>
            </c:ext>
          </c:extLst>
        </c:ser>
        <c:ser>
          <c:idx val="1"/>
          <c:order val="1"/>
          <c:tx>
            <c:strRef>
              <c:f>Sheet1!$AN$1</c:f>
              <c:strCache>
                <c:ptCount val="1"/>
                <c:pt idx="0">
                  <c:v>Test 4 Right Ticks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Sheet1!$AB$2:$AB$51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FINAL</c:v>
                </c:pt>
              </c:strCache>
            </c:strRef>
          </c:cat>
          <c:val>
            <c:numRef>
              <c:f>Sheet1!$AN$2:$AN$51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07-4212-9C15-4DB481EF3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884368"/>
        <c:axId val="548890928"/>
      </c:lineChart>
      <c:catAx>
        <c:axId val="54888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 Number</a:t>
                </a:r>
              </a:p>
            </c:rich>
          </c:tx>
          <c:layout>
            <c:manualLayout>
              <c:xMode val="edge"/>
              <c:yMode val="edge"/>
              <c:x val="0.43768614245143073"/>
              <c:y val="0.826139376608335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890928"/>
        <c:crosses val="autoZero"/>
        <c:auto val="1"/>
        <c:lblAlgn val="ctr"/>
        <c:lblOffset val="100"/>
        <c:noMultiLvlLbl val="0"/>
      </c:catAx>
      <c:valAx>
        <c:axId val="54889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Encoder Tick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88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Motor Encoder Tick Progression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Sheet1!$AP$1</c:f>
              <c:strCache>
                <c:ptCount val="1"/>
                <c:pt idx="0">
                  <c:v>Test 5 Left Ticks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Sheet1!$AB$2:$AB$51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FINAL</c:v>
                </c:pt>
              </c:strCache>
            </c:strRef>
          </c:cat>
          <c:val>
            <c:numRef>
              <c:f>Sheet1!$AP$2:$AP$51</c:f>
              <c:numCache>
                <c:formatCode>General</c:formatCode>
                <c:ptCount val="5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11</c:v>
                </c:pt>
                <c:pt idx="26">
                  <c:v>11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13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15</c:v>
                </c:pt>
                <c:pt idx="36">
                  <c:v>15</c:v>
                </c:pt>
                <c:pt idx="37">
                  <c:v>16</c:v>
                </c:pt>
                <c:pt idx="38">
                  <c:v>16</c:v>
                </c:pt>
                <c:pt idx="39">
                  <c:v>17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19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7-4B05-9EF0-FA3BD5502610}"/>
            </c:ext>
          </c:extLst>
        </c:ser>
        <c:ser>
          <c:idx val="1"/>
          <c:order val="1"/>
          <c:tx>
            <c:strRef>
              <c:f>Sheet1!$AQ$1</c:f>
              <c:strCache>
                <c:ptCount val="1"/>
                <c:pt idx="0">
                  <c:v>Test 5 Right Ticks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Sheet1!$AB$2:$AB$51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FINAL</c:v>
                </c:pt>
              </c:strCache>
            </c:strRef>
          </c:cat>
          <c:val>
            <c:numRef>
              <c:f>Sheet1!$AQ$2:$AQ$51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11</c:v>
                </c:pt>
                <c:pt idx="31">
                  <c:v>11</c:v>
                </c:pt>
                <c:pt idx="32">
                  <c:v>12</c:v>
                </c:pt>
                <c:pt idx="33">
                  <c:v>12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18</c:v>
                </c:pt>
                <c:pt idx="45">
                  <c:v>18</c:v>
                </c:pt>
                <c:pt idx="46">
                  <c:v>19</c:v>
                </c:pt>
                <c:pt idx="47">
                  <c:v>19</c:v>
                </c:pt>
                <c:pt idx="4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7-4B05-9EF0-FA3BD5502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620024"/>
        <c:axId val="545621008"/>
      </c:lineChart>
      <c:catAx>
        <c:axId val="545620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</a:t>
                </a:r>
                <a:r>
                  <a:rPr lang="en-GB" baseline="0"/>
                  <a:t> Number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5164266366621525"/>
              <c:y val="0.817232568852677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21008"/>
        <c:crosses val="autoZero"/>
        <c:auto val="1"/>
        <c:lblAlgn val="ctr"/>
        <c:lblOffset val="100"/>
        <c:noMultiLvlLbl val="0"/>
      </c:catAx>
      <c:valAx>
        <c:axId val="5456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Encoder Tick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20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Final Motor Ticks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Sheet1!$BL$1</c:f>
              <c:strCache>
                <c:ptCount val="1"/>
                <c:pt idx="0">
                  <c:v>Final Left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Sheet1!$BK$2:$BK$6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Sheet1!$BL$2:$BL$6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4-4FCE-BFA5-757B0F0B75CE}"/>
            </c:ext>
          </c:extLst>
        </c:ser>
        <c:ser>
          <c:idx val="1"/>
          <c:order val="1"/>
          <c:tx>
            <c:strRef>
              <c:f>Sheet1!$BM$1</c:f>
              <c:strCache>
                <c:ptCount val="1"/>
                <c:pt idx="0">
                  <c:v>Final Right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Sheet1!$BK$2:$BK$6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Sheet1!$BM$2:$BM$6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22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4-4FCE-BFA5-757B0F0B7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297752"/>
        <c:axId val="596301688"/>
      </c:barChart>
      <c:catAx>
        <c:axId val="596297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Test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301688"/>
        <c:crosses val="autoZero"/>
        <c:auto val="1"/>
        <c:lblAlgn val="ctr"/>
        <c:lblOffset val="100"/>
        <c:noMultiLvlLbl val="0"/>
      </c:catAx>
      <c:valAx>
        <c:axId val="59630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Encoder Tick Count FInal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9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Encoder Tick Difference Across Motor Calibration Tests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Sheet1!$BZ$1</c:f>
              <c:strCache>
                <c:ptCount val="1"/>
                <c:pt idx="0">
                  <c:v>Tick Difference Test 1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Sheet1!$BY$2:$BY$50</c:f>
              <c:numCache>
                <c:formatCode>General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Sheet1!$BZ$2:$BZ$50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-3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-1</c:v>
                </c:pt>
                <c:pt idx="34">
                  <c:v>-2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-3</c:v>
                </c:pt>
                <c:pt idx="44">
                  <c:v>-3</c:v>
                </c:pt>
                <c:pt idx="45">
                  <c:v>-2</c:v>
                </c:pt>
                <c:pt idx="46">
                  <c:v>-2</c:v>
                </c:pt>
                <c:pt idx="47">
                  <c:v>-1</c:v>
                </c:pt>
                <c:pt idx="48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30-4556-BDAD-886CE80896D6}"/>
            </c:ext>
          </c:extLst>
        </c:ser>
        <c:ser>
          <c:idx val="1"/>
          <c:order val="1"/>
          <c:tx>
            <c:strRef>
              <c:f>Sheet1!$CA$1</c:f>
              <c:strCache>
                <c:ptCount val="1"/>
                <c:pt idx="0">
                  <c:v>Tick Difference Test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Sheet1!$BY$2:$BY$50</c:f>
              <c:numCache>
                <c:formatCode>General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Sheet1!$CA$2:$CA$50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30-4556-BDAD-886CE80896D6}"/>
            </c:ext>
          </c:extLst>
        </c:ser>
        <c:ser>
          <c:idx val="2"/>
          <c:order val="2"/>
          <c:tx>
            <c:strRef>
              <c:f>Sheet1!$CB$1</c:f>
              <c:strCache>
                <c:ptCount val="1"/>
                <c:pt idx="0">
                  <c:v>Tick Difference Test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Sheet1!$BY$2:$BY$50</c:f>
              <c:numCache>
                <c:formatCode>General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Sheet1!$CB$2:$CB$50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-2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30-4556-BDAD-886CE80896D6}"/>
            </c:ext>
          </c:extLst>
        </c:ser>
        <c:ser>
          <c:idx val="3"/>
          <c:order val="3"/>
          <c:tx>
            <c:strRef>
              <c:f>Sheet1!$CC$1</c:f>
              <c:strCache>
                <c:ptCount val="1"/>
                <c:pt idx="0">
                  <c:v>Tick Difference Test 4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Sheet1!$BY$2:$BY$50</c:f>
              <c:numCache>
                <c:formatCode>General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Sheet1!$CC$2:$CC$50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30-4556-BDAD-886CE80896D6}"/>
            </c:ext>
          </c:extLst>
        </c:ser>
        <c:ser>
          <c:idx val="4"/>
          <c:order val="4"/>
          <c:tx>
            <c:strRef>
              <c:f>Sheet1!$CD$1</c:f>
              <c:strCache>
                <c:ptCount val="1"/>
                <c:pt idx="0">
                  <c:v>Tick Difference Test 5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Sheet1!$BY$2:$BY$50</c:f>
              <c:numCache>
                <c:formatCode>General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cat>
          <c:val>
            <c:numRef>
              <c:f>Sheet1!$CD$2:$CD$50</c:f>
              <c:numCache>
                <c:formatCode>General</c:formatCode>
                <c:ptCount val="49"/>
                <c:pt idx="0">
                  <c:v>0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-4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-2</c:v>
                </c:pt>
                <c:pt idx="17">
                  <c:v>-3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-1</c:v>
                </c:pt>
                <c:pt idx="35">
                  <c:v>-2</c:v>
                </c:pt>
                <c:pt idx="36">
                  <c:v>-1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-1</c:v>
                </c:pt>
                <c:pt idx="47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30-4556-BDAD-886CE8089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400576"/>
        <c:axId val="541406480"/>
      </c:lineChart>
      <c:catAx>
        <c:axId val="541400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 Number</a:t>
                </a:r>
              </a:p>
            </c:rich>
          </c:tx>
          <c:layout>
            <c:manualLayout>
              <c:xMode val="edge"/>
              <c:yMode val="edge"/>
              <c:x val="0.46959517031079195"/>
              <c:y val="0.84910245523266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06480"/>
        <c:crossesAt val="0"/>
        <c:auto val="1"/>
        <c:lblAlgn val="ctr"/>
        <c:lblOffset val="100"/>
        <c:noMultiLvlLbl val="0"/>
      </c:catAx>
      <c:valAx>
        <c:axId val="54140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Tick Difference (Right - Left)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0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607060</xdr:colOff>
      <xdr:row>0</xdr:row>
      <xdr:rowOff>0</xdr:rowOff>
    </xdr:from>
    <xdr:to>
      <xdr:col>25</xdr:col>
      <xdr:colOff>0</xdr:colOff>
      <xdr:row>16</xdr:row>
      <xdr:rowOff>172720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604520</xdr:colOff>
      <xdr:row>18</xdr:row>
      <xdr:rowOff>177800</xdr:rowOff>
    </xdr:from>
    <xdr:to>
      <xdr:col>25</xdr:col>
      <xdr:colOff>0</xdr:colOff>
      <xdr:row>36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0</xdr:colOff>
      <xdr:row>0</xdr:row>
      <xdr:rowOff>0</xdr:rowOff>
    </xdr:from>
    <xdr:to>
      <xdr:col>51</xdr:col>
      <xdr:colOff>599440</xdr:colOff>
      <xdr:row>17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1</xdr:colOff>
      <xdr:row>18</xdr:row>
      <xdr:rowOff>3464</xdr:rowOff>
    </xdr:from>
    <xdr:to>
      <xdr:col>51</xdr:col>
      <xdr:colOff>602673</xdr:colOff>
      <xdr:row>34</xdr:row>
      <xdr:rowOff>13855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0</xdr:colOff>
      <xdr:row>35</xdr:row>
      <xdr:rowOff>3875</xdr:rowOff>
    </xdr:from>
    <xdr:to>
      <xdr:col>51</xdr:col>
      <xdr:colOff>594101</xdr:colOff>
      <xdr:row>52</xdr:row>
      <xdr:rowOff>12915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12915</xdr:colOff>
      <xdr:row>0</xdr:row>
      <xdr:rowOff>0</xdr:rowOff>
    </xdr:from>
    <xdr:to>
      <xdr:col>60</xdr:col>
      <xdr:colOff>594102</xdr:colOff>
      <xdr:row>17</xdr:row>
      <xdr:rowOff>-1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608461</xdr:colOff>
      <xdr:row>17</xdr:row>
      <xdr:rowOff>169458</xdr:rowOff>
    </xdr:from>
    <xdr:to>
      <xdr:col>60</xdr:col>
      <xdr:colOff>614148</xdr:colOff>
      <xdr:row>33</xdr:row>
      <xdr:rowOff>181969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65</xdr:col>
      <xdr:colOff>591402</xdr:colOff>
      <xdr:row>0</xdr:row>
      <xdr:rowOff>0</xdr:rowOff>
    </xdr:from>
    <xdr:to>
      <xdr:col>73</xdr:col>
      <xdr:colOff>602775</xdr:colOff>
      <xdr:row>17</xdr:row>
      <xdr:rowOff>-1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83</xdr:col>
      <xdr:colOff>45491</xdr:colOff>
      <xdr:row>1</xdr:row>
      <xdr:rowOff>125103</xdr:rowOff>
    </xdr:from>
    <xdr:to>
      <xdr:col>100</xdr:col>
      <xdr:colOff>34120</xdr:colOff>
      <xdr:row>29</xdr:row>
      <xdr:rowOff>11372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7"/>
  <sheetViews>
    <sheetView tabSelected="1" topLeftCell="BZ1" zoomScale="67" zoomScaleNormal="145" workbookViewId="0">
      <selection activeCell="CY8" sqref="CY8"/>
    </sheetView>
  </sheetViews>
  <sheetFormatPr defaultRowHeight="14.4" x14ac:dyDescent="0.3"/>
  <cols>
    <col min="1" max="1" width="8.88671875" bestFit="1" customWidth="1"/>
    <col min="2" max="2" width="8.21875" bestFit="1" customWidth="1"/>
    <col min="3" max="3" width="9.109375" bestFit="1" customWidth="1"/>
    <col min="5" max="5" width="11.33203125" bestFit="1" customWidth="1"/>
    <col min="6" max="6" width="12.33203125" bestFit="1" customWidth="1"/>
    <col min="28" max="28" width="10.44140625" bestFit="1" customWidth="1"/>
    <col min="30" max="30" width="16.5546875" bestFit="1" customWidth="1"/>
    <col min="31" max="31" width="17.88671875" bestFit="1" customWidth="1"/>
    <col min="33" max="33" width="14.33203125" bestFit="1" customWidth="1"/>
    <col min="34" max="34" width="15.5546875" bestFit="1" customWidth="1"/>
    <col min="36" max="36" width="14.33203125" bestFit="1" customWidth="1"/>
    <col min="37" max="37" width="15.5546875" bestFit="1" customWidth="1"/>
    <col min="39" max="39" width="14.33203125" bestFit="1" customWidth="1"/>
    <col min="40" max="40" width="15.5546875" bestFit="1" customWidth="1"/>
    <col min="42" max="42" width="14.33203125" bestFit="1" customWidth="1"/>
    <col min="43" max="43" width="15.5546875" bestFit="1" customWidth="1"/>
    <col min="77" max="77" width="11.33203125" bestFit="1" customWidth="1"/>
    <col min="78" max="82" width="20.6640625" bestFit="1" customWidth="1"/>
    <col min="83" max="83" width="8.88671875" customWidth="1"/>
  </cols>
  <sheetData>
    <row r="1" spans="1:82" x14ac:dyDescent="0.3">
      <c r="A1" t="s">
        <v>0</v>
      </c>
      <c r="B1" t="s">
        <v>1</v>
      </c>
      <c r="C1" t="s">
        <v>2</v>
      </c>
      <c r="E1" t="s">
        <v>4</v>
      </c>
      <c r="F1" t="s">
        <v>3</v>
      </c>
      <c r="AB1" t="s">
        <v>5</v>
      </c>
      <c r="AD1" t="s">
        <v>6</v>
      </c>
      <c r="AE1" t="s">
        <v>7</v>
      </c>
      <c r="AG1" t="s">
        <v>15</v>
      </c>
      <c r="AH1" t="s">
        <v>14</v>
      </c>
      <c r="AJ1" t="s">
        <v>13</v>
      </c>
      <c r="AK1" t="s">
        <v>12</v>
      </c>
      <c r="AM1" t="s">
        <v>11</v>
      </c>
      <c r="AN1" t="s">
        <v>10</v>
      </c>
      <c r="AP1" t="s">
        <v>9</v>
      </c>
      <c r="AQ1" t="s">
        <v>8</v>
      </c>
      <c r="BK1" t="s">
        <v>17</v>
      </c>
      <c r="BL1" t="s">
        <v>18</v>
      </c>
      <c r="BM1" t="s">
        <v>19</v>
      </c>
      <c r="BY1" t="s">
        <v>5</v>
      </c>
      <c r="BZ1" t="s">
        <v>20</v>
      </c>
      <c r="CA1" t="s">
        <v>21</v>
      </c>
      <c r="CB1" t="s">
        <v>22</v>
      </c>
      <c r="CC1" t="s">
        <v>23</v>
      </c>
      <c r="CD1" t="s">
        <v>24</v>
      </c>
    </row>
    <row r="2" spans="1:82" x14ac:dyDescent="0.3">
      <c r="A2">
        <v>0</v>
      </c>
      <c r="B2">
        <v>0</v>
      </c>
      <c r="C2">
        <v>0</v>
      </c>
      <c r="E2">
        <v>0</v>
      </c>
      <c r="F2">
        <v>0</v>
      </c>
      <c r="AB2">
        <v>1</v>
      </c>
      <c r="AD2">
        <v>0</v>
      </c>
      <c r="AE2">
        <v>0</v>
      </c>
      <c r="AG2">
        <v>0</v>
      </c>
      <c r="AH2">
        <v>0</v>
      </c>
      <c r="AJ2">
        <v>0</v>
      </c>
      <c r="AK2">
        <v>0</v>
      </c>
      <c r="AM2">
        <v>0</v>
      </c>
      <c r="AN2">
        <v>0</v>
      </c>
      <c r="AP2">
        <v>0</v>
      </c>
      <c r="AQ2">
        <v>0</v>
      </c>
      <c r="BK2">
        <v>1</v>
      </c>
      <c r="BL2">
        <v>20</v>
      </c>
      <c r="BM2">
        <v>20</v>
      </c>
      <c r="BY2">
        <v>1</v>
      </c>
      <c r="BZ2">
        <f>AE2:AE51 - AD2:AD51</f>
        <v>0</v>
      </c>
      <c r="CA2">
        <f>AH2:AH51 - AG2:AG51</f>
        <v>0</v>
      </c>
      <c r="CB2">
        <f>AK2:AK51 - AJ2:AJ51</f>
        <v>0</v>
      </c>
      <c r="CC2">
        <f>AN2:AN51 - AM2:AM51</f>
        <v>0</v>
      </c>
      <c r="CD2">
        <f>AQ2:AQ51 - AP2:AP51</f>
        <v>0</v>
      </c>
    </row>
    <row r="3" spans="1:82" x14ac:dyDescent="0.3">
      <c r="A3">
        <v>100</v>
      </c>
      <c r="B3">
        <v>2</v>
      </c>
      <c r="C3">
        <v>4</v>
      </c>
      <c r="E3">
        <f t="shared" ref="E3:E66" si="0">B3-B2</f>
        <v>2</v>
      </c>
      <c r="F3">
        <f t="shared" ref="F3:F66" si="1">C3-C2</f>
        <v>4</v>
      </c>
      <c r="AB3">
        <v>2</v>
      </c>
      <c r="AD3">
        <v>0</v>
      </c>
      <c r="AE3">
        <v>0</v>
      </c>
      <c r="AG3">
        <v>0</v>
      </c>
      <c r="AH3">
        <v>0</v>
      </c>
      <c r="AJ3">
        <v>0</v>
      </c>
      <c r="AK3">
        <v>0</v>
      </c>
      <c r="AM3">
        <v>0</v>
      </c>
      <c r="AN3">
        <v>0</v>
      </c>
      <c r="AP3">
        <v>2</v>
      </c>
      <c r="AQ3">
        <v>0</v>
      </c>
      <c r="BK3">
        <v>2</v>
      </c>
      <c r="BL3">
        <v>20</v>
      </c>
      <c r="BM3">
        <v>20</v>
      </c>
      <c r="BY3">
        <v>2</v>
      </c>
      <c r="BZ3">
        <f t="shared" ref="BZ3:BZ50" si="2">AE3:AE52 - AD3:AD52</f>
        <v>0</v>
      </c>
      <c r="CA3">
        <f t="shared" ref="CA3:CA46" si="3">AH3:AH52 - AG3:AG52</f>
        <v>0</v>
      </c>
      <c r="CB3">
        <f t="shared" ref="CB3:CB39" si="4">AK3:AK52 - AJ3:AJ52</f>
        <v>0</v>
      </c>
      <c r="CC3">
        <f t="shared" ref="CC3:CC44" si="5">AN3:AN52 - AM3:AM52</f>
        <v>0</v>
      </c>
      <c r="CD3">
        <f t="shared" ref="CD3:CD49" si="6">AQ3:AQ52 - AP3:AP52</f>
        <v>-2</v>
      </c>
    </row>
    <row r="4" spans="1:82" x14ac:dyDescent="0.3">
      <c r="A4">
        <v>200</v>
      </c>
      <c r="B4">
        <v>6</v>
      </c>
      <c r="C4">
        <v>8</v>
      </c>
      <c r="E4">
        <f t="shared" si="0"/>
        <v>4</v>
      </c>
      <c r="F4">
        <f t="shared" si="1"/>
        <v>4</v>
      </c>
      <c r="AB4">
        <v>3</v>
      </c>
      <c r="AD4">
        <v>0</v>
      </c>
      <c r="AE4">
        <v>0</v>
      </c>
      <c r="AG4">
        <v>1</v>
      </c>
      <c r="AH4">
        <v>1</v>
      </c>
      <c r="AJ4">
        <v>1</v>
      </c>
      <c r="AK4">
        <v>1</v>
      </c>
      <c r="AM4">
        <v>1</v>
      </c>
      <c r="AN4">
        <v>1</v>
      </c>
      <c r="AP4">
        <v>2</v>
      </c>
      <c r="AQ4">
        <v>0</v>
      </c>
      <c r="BK4">
        <v>3</v>
      </c>
      <c r="BL4">
        <v>20</v>
      </c>
      <c r="BM4">
        <v>22</v>
      </c>
      <c r="BY4">
        <v>3</v>
      </c>
      <c r="BZ4">
        <f t="shared" si="2"/>
        <v>0</v>
      </c>
      <c r="CA4">
        <f t="shared" si="3"/>
        <v>0</v>
      </c>
      <c r="CB4">
        <f t="shared" si="4"/>
        <v>0</v>
      </c>
      <c r="CC4">
        <f t="shared" si="5"/>
        <v>0</v>
      </c>
      <c r="CD4">
        <f t="shared" si="6"/>
        <v>-2</v>
      </c>
    </row>
    <row r="5" spans="1:82" x14ac:dyDescent="0.3">
      <c r="A5">
        <v>300</v>
      </c>
      <c r="B5">
        <v>10</v>
      </c>
      <c r="C5">
        <v>12</v>
      </c>
      <c r="E5">
        <f t="shared" si="0"/>
        <v>4</v>
      </c>
      <c r="F5">
        <f t="shared" si="1"/>
        <v>4</v>
      </c>
      <c r="AB5">
        <v>4</v>
      </c>
      <c r="AD5">
        <v>0</v>
      </c>
      <c r="AE5">
        <v>0</v>
      </c>
      <c r="AG5">
        <v>1</v>
      </c>
      <c r="AH5">
        <v>1</v>
      </c>
      <c r="AJ5">
        <v>1</v>
      </c>
      <c r="AK5">
        <v>1</v>
      </c>
      <c r="AM5">
        <v>1</v>
      </c>
      <c r="AN5">
        <v>1</v>
      </c>
      <c r="AP5">
        <v>2</v>
      </c>
      <c r="AQ5">
        <v>0</v>
      </c>
      <c r="BK5">
        <v>4</v>
      </c>
      <c r="BL5">
        <v>20</v>
      </c>
      <c r="BM5">
        <v>20</v>
      </c>
      <c r="BY5">
        <v>4</v>
      </c>
      <c r="BZ5">
        <f t="shared" si="2"/>
        <v>0</v>
      </c>
      <c r="CA5">
        <f t="shared" si="3"/>
        <v>0</v>
      </c>
      <c r="CB5">
        <f t="shared" si="4"/>
        <v>0</v>
      </c>
      <c r="CC5">
        <f t="shared" si="5"/>
        <v>0</v>
      </c>
      <c r="CD5">
        <f t="shared" si="6"/>
        <v>-2</v>
      </c>
    </row>
    <row r="6" spans="1:82" x14ac:dyDescent="0.3">
      <c r="A6">
        <v>400</v>
      </c>
      <c r="B6">
        <v>14</v>
      </c>
      <c r="C6">
        <v>16</v>
      </c>
      <c r="E6">
        <f t="shared" si="0"/>
        <v>4</v>
      </c>
      <c r="F6">
        <f t="shared" si="1"/>
        <v>4</v>
      </c>
      <c r="AB6">
        <v>5</v>
      </c>
      <c r="AD6">
        <v>1</v>
      </c>
      <c r="AE6">
        <v>1</v>
      </c>
      <c r="AG6">
        <v>2</v>
      </c>
      <c r="AH6">
        <v>2</v>
      </c>
      <c r="AJ6">
        <v>2</v>
      </c>
      <c r="AK6">
        <v>1</v>
      </c>
      <c r="AM6">
        <v>2</v>
      </c>
      <c r="AN6">
        <v>2</v>
      </c>
      <c r="AP6">
        <v>3</v>
      </c>
      <c r="AQ6">
        <v>0</v>
      </c>
      <c r="BK6">
        <v>5</v>
      </c>
      <c r="BL6">
        <v>20</v>
      </c>
      <c r="BM6">
        <v>20</v>
      </c>
      <c r="BY6">
        <v>5</v>
      </c>
      <c r="BZ6">
        <f t="shared" si="2"/>
        <v>0</v>
      </c>
      <c r="CA6">
        <f t="shared" si="3"/>
        <v>0</v>
      </c>
      <c r="CB6">
        <f t="shared" si="4"/>
        <v>-1</v>
      </c>
      <c r="CC6">
        <f t="shared" si="5"/>
        <v>0</v>
      </c>
      <c r="CD6">
        <f t="shared" si="6"/>
        <v>-3</v>
      </c>
    </row>
    <row r="7" spans="1:82" x14ac:dyDescent="0.3">
      <c r="A7">
        <v>500</v>
      </c>
      <c r="B7">
        <v>19</v>
      </c>
      <c r="C7">
        <v>23</v>
      </c>
      <c r="E7">
        <f t="shared" si="0"/>
        <v>5</v>
      </c>
      <c r="F7">
        <f t="shared" si="1"/>
        <v>7</v>
      </c>
      <c r="AB7">
        <v>6</v>
      </c>
      <c r="AD7">
        <v>1</v>
      </c>
      <c r="AE7">
        <v>1</v>
      </c>
      <c r="AG7">
        <v>2</v>
      </c>
      <c r="AH7">
        <v>3</v>
      </c>
      <c r="AJ7">
        <v>3</v>
      </c>
      <c r="AK7">
        <v>1</v>
      </c>
      <c r="AM7">
        <v>2</v>
      </c>
      <c r="AN7">
        <v>2</v>
      </c>
      <c r="AP7">
        <v>3</v>
      </c>
      <c r="AQ7">
        <v>0</v>
      </c>
      <c r="BY7">
        <v>6</v>
      </c>
      <c r="BZ7">
        <f t="shared" si="2"/>
        <v>0</v>
      </c>
      <c r="CA7">
        <f t="shared" si="3"/>
        <v>1</v>
      </c>
      <c r="CB7">
        <f t="shared" si="4"/>
        <v>-2</v>
      </c>
      <c r="CC7">
        <f t="shared" si="5"/>
        <v>0</v>
      </c>
      <c r="CD7">
        <f t="shared" si="6"/>
        <v>-3</v>
      </c>
    </row>
    <row r="8" spans="1:82" x14ac:dyDescent="0.3">
      <c r="A8">
        <v>600</v>
      </c>
      <c r="B8">
        <v>25</v>
      </c>
      <c r="C8">
        <v>27</v>
      </c>
      <c r="E8">
        <f t="shared" si="0"/>
        <v>6</v>
      </c>
      <c r="F8">
        <f t="shared" si="1"/>
        <v>4</v>
      </c>
      <c r="AB8">
        <v>7</v>
      </c>
      <c r="AD8">
        <v>1</v>
      </c>
      <c r="AE8">
        <v>1</v>
      </c>
      <c r="AG8">
        <v>2</v>
      </c>
      <c r="AH8">
        <v>3</v>
      </c>
      <c r="AJ8">
        <v>3</v>
      </c>
      <c r="AK8">
        <v>2</v>
      </c>
      <c r="AM8">
        <v>2</v>
      </c>
      <c r="AN8">
        <v>2</v>
      </c>
      <c r="AP8">
        <v>3</v>
      </c>
      <c r="AQ8">
        <v>0</v>
      </c>
      <c r="BY8">
        <v>7</v>
      </c>
      <c r="BZ8">
        <f t="shared" si="2"/>
        <v>0</v>
      </c>
      <c r="CA8">
        <f t="shared" si="3"/>
        <v>1</v>
      </c>
      <c r="CB8">
        <f t="shared" si="4"/>
        <v>-1</v>
      </c>
      <c r="CC8">
        <f t="shared" si="5"/>
        <v>0</v>
      </c>
      <c r="CD8">
        <f t="shared" si="6"/>
        <v>-3</v>
      </c>
    </row>
    <row r="9" spans="1:82" x14ac:dyDescent="0.3">
      <c r="A9">
        <v>700</v>
      </c>
      <c r="B9">
        <v>33</v>
      </c>
      <c r="C9">
        <v>31</v>
      </c>
      <c r="E9">
        <f t="shared" si="0"/>
        <v>8</v>
      </c>
      <c r="F9">
        <f t="shared" si="1"/>
        <v>4</v>
      </c>
      <c r="AB9">
        <v>8</v>
      </c>
      <c r="AD9">
        <v>2</v>
      </c>
      <c r="AE9">
        <v>2</v>
      </c>
      <c r="AG9">
        <v>3</v>
      </c>
      <c r="AH9">
        <v>4</v>
      </c>
      <c r="AJ9">
        <v>4</v>
      </c>
      <c r="AK9">
        <v>3</v>
      </c>
      <c r="AM9">
        <v>3</v>
      </c>
      <c r="AN9">
        <v>3</v>
      </c>
      <c r="AP9">
        <v>4</v>
      </c>
      <c r="AQ9">
        <v>1</v>
      </c>
      <c r="BY9">
        <v>8</v>
      </c>
      <c r="BZ9">
        <f t="shared" si="2"/>
        <v>0</v>
      </c>
      <c r="CA9">
        <f t="shared" si="3"/>
        <v>1</v>
      </c>
      <c r="CB9">
        <f t="shared" si="4"/>
        <v>-1</v>
      </c>
      <c r="CC9">
        <f t="shared" si="5"/>
        <v>0</v>
      </c>
      <c r="CD9">
        <f t="shared" si="6"/>
        <v>-3</v>
      </c>
    </row>
    <row r="10" spans="1:82" x14ac:dyDescent="0.3">
      <c r="A10">
        <v>800</v>
      </c>
      <c r="B10">
        <v>39</v>
      </c>
      <c r="C10">
        <v>35</v>
      </c>
      <c r="E10">
        <f t="shared" si="0"/>
        <v>6</v>
      </c>
      <c r="F10">
        <f t="shared" si="1"/>
        <v>4</v>
      </c>
      <c r="AB10">
        <v>9</v>
      </c>
      <c r="AD10">
        <v>3</v>
      </c>
      <c r="AE10">
        <v>2</v>
      </c>
      <c r="AG10">
        <v>3</v>
      </c>
      <c r="AH10">
        <v>4</v>
      </c>
      <c r="AJ10">
        <v>4</v>
      </c>
      <c r="AK10">
        <v>3</v>
      </c>
      <c r="AM10">
        <v>4</v>
      </c>
      <c r="AN10">
        <v>3</v>
      </c>
      <c r="AP10">
        <v>4</v>
      </c>
      <c r="AQ10">
        <v>1</v>
      </c>
      <c r="BY10">
        <v>9</v>
      </c>
      <c r="BZ10">
        <f t="shared" si="2"/>
        <v>-1</v>
      </c>
      <c r="CA10">
        <f t="shared" si="3"/>
        <v>1</v>
      </c>
      <c r="CB10">
        <f t="shared" si="4"/>
        <v>-1</v>
      </c>
      <c r="CC10">
        <f t="shared" si="5"/>
        <v>-1</v>
      </c>
      <c r="CD10">
        <f t="shared" si="6"/>
        <v>-3</v>
      </c>
    </row>
    <row r="11" spans="1:82" x14ac:dyDescent="0.3">
      <c r="A11">
        <v>900</v>
      </c>
      <c r="B11">
        <v>46</v>
      </c>
      <c r="C11">
        <v>39</v>
      </c>
      <c r="E11">
        <f t="shared" si="0"/>
        <v>7</v>
      </c>
      <c r="F11">
        <f t="shared" si="1"/>
        <v>4</v>
      </c>
      <c r="AB11">
        <v>10</v>
      </c>
      <c r="AD11">
        <v>4</v>
      </c>
      <c r="AE11">
        <v>3</v>
      </c>
      <c r="AG11">
        <v>4</v>
      </c>
      <c r="AH11">
        <v>5</v>
      </c>
      <c r="AJ11">
        <v>5</v>
      </c>
      <c r="AK11">
        <v>4</v>
      </c>
      <c r="AM11">
        <v>5</v>
      </c>
      <c r="AN11">
        <v>4</v>
      </c>
      <c r="AP11">
        <v>4</v>
      </c>
      <c r="AQ11">
        <v>1</v>
      </c>
      <c r="BY11">
        <v>10</v>
      </c>
      <c r="BZ11">
        <f t="shared" si="2"/>
        <v>-1</v>
      </c>
      <c r="CA11">
        <f t="shared" si="3"/>
        <v>1</v>
      </c>
      <c r="CB11">
        <f t="shared" si="4"/>
        <v>-1</v>
      </c>
      <c r="CC11">
        <f t="shared" si="5"/>
        <v>-1</v>
      </c>
      <c r="CD11">
        <f t="shared" si="6"/>
        <v>-3</v>
      </c>
    </row>
    <row r="12" spans="1:82" x14ac:dyDescent="0.3">
      <c r="A12">
        <v>1000</v>
      </c>
      <c r="B12">
        <v>50</v>
      </c>
      <c r="C12">
        <v>44</v>
      </c>
      <c r="E12">
        <f t="shared" si="0"/>
        <v>4</v>
      </c>
      <c r="F12">
        <f t="shared" si="1"/>
        <v>5</v>
      </c>
      <c r="AB12">
        <v>11</v>
      </c>
      <c r="AD12">
        <v>4</v>
      </c>
      <c r="AE12">
        <v>3</v>
      </c>
      <c r="AG12">
        <v>4</v>
      </c>
      <c r="AH12">
        <v>6</v>
      </c>
      <c r="AJ12">
        <v>5</v>
      </c>
      <c r="AK12">
        <v>4</v>
      </c>
      <c r="AM12">
        <v>5</v>
      </c>
      <c r="AN12">
        <v>4</v>
      </c>
      <c r="AP12">
        <v>5</v>
      </c>
      <c r="AQ12">
        <v>2</v>
      </c>
      <c r="BY12">
        <v>11</v>
      </c>
      <c r="BZ12">
        <f t="shared" si="2"/>
        <v>-1</v>
      </c>
      <c r="CA12">
        <f t="shared" si="3"/>
        <v>2</v>
      </c>
      <c r="CB12">
        <f t="shared" si="4"/>
        <v>-1</v>
      </c>
      <c r="CC12">
        <f t="shared" si="5"/>
        <v>-1</v>
      </c>
      <c r="CD12">
        <f t="shared" si="6"/>
        <v>-3</v>
      </c>
    </row>
    <row r="13" spans="1:82" x14ac:dyDescent="0.3">
      <c r="A13">
        <v>1100</v>
      </c>
      <c r="B13">
        <v>54</v>
      </c>
      <c r="C13">
        <v>48</v>
      </c>
      <c r="E13">
        <f t="shared" si="0"/>
        <v>4</v>
      </c>
      <c r="F13">
        <f t="shared" si="1"/>
        <v>4</v>
      </c>
      <c r="AB13">
        <v>12</v>
      </c>
      <c r="AD13">
        <v>4</v>
      </c>
      <c r="AE13">
        <v>3</v>
      </c>
      <c r="AG13">
        <v>4</v>
      </c>
      <c r="AH13">
        <v>6</v>
      </c>
      <c r="AJ13">
        <v>5</v>
      </c>
      <c r="AK13">
        <v>5</v>
      </c>
      <c r="AM13">
        <v>5</v>
      </c>
      <c r="AN13">
        <v>4</v>
      </c>
      <c r="AP13">
        <v>5</v>
      </c>
      <c r="AQ13">
        <v>2</v>
      </c>
      <c r="BY13">
        <v>12</v>
      </c>
      <c r="BZ13">
        <f t="shared" si="2"/>
        <v>-1</v>
      </c>
      <c r="CA13">
        <f t="shared" si="3"/>
        <v>2</v>
      </c>
      <c r="CB13">
        <f t="shared" si="4"/>
        <v>0</v>
      </c>
      <c r="CC13">
        <f t="shared" si="5"/>
        <v>-1</v>
      </c>
      <c r="CD13">
        <f t="shared" si="6"/>
        <v>-3</v>
      </c>
    </row>
    <row r="14" spans="1:82" x14ac:dyDescent="0.3">
      <c r="A14">
        <v>1200</v>
      </c>
      <c r="B14">
        <v>59</v>
      </c>
      <c r="C14">
        <v>53</v>
      </c>
      <c r="E14">
        <f t="shared" si="0"/>
        <v>5</v>
      </c>
      <c r="F14">
        <f t="shared" si="1"/>
        <v>5</v>
      </c>
      <c r="AB14">
        <v>13</v>
      </c>
      <c r="AD14">
        <v>5</v>
      </c>
      <c r="AE14">
        <v>4</v>
      </c>
      <c r="AG14">
        <v>5</v>
      </c>
      <c r="AH14">
        <v>7</v>
      </c>
      <c r="AJ14">
        <v>6</v>
      </c>
      <c r="AK14">
        <v>6</v>
      </c>
      <c r="AM14">
        <v>6</v>
      </c>
      <c r="AN14">
        <v>5</v>
      </c>
      <c r="AP14">
        <v>6</v>
      </c>
      <c r="AQ14">
        <v>2</v>
      </c>
      <c r="BY14">
        <v>13</v>
      </c>
      <c r="BZ14">
        <f t="shared" si="2"/>
        <v>-1</v>
      </c>
      <c r="CA14">
        <f t="shared" si="3"/>
        <v>2</v>
      </c>
      <c r="CB14">
        <f t="shared" si="4"/>
        <v>0</v>
      </c>
      <c r="CC14">
        <f t="shared" si="5"/>
        <v>-1</v>
      </c>
      <c r="CD14">
        <f t="shared" si="6"/>
        <v>-4</v>
      </c>
    </row>
    <row r="15" spans="1:82" x14ac:dyDescent="0.3">
      <c r="A15">
        <v>1300</v>
      </c>
      <c r="B15">
        <v>63</v>
      </c>
      <c r="C15">
        <v>57</v>
      </c>
      <c r="E15">
        <f t="shared" si="0"/>
        <v>4</v>
      </c>
      <c r="F15">
        <f t="shared" si="1"/>
        <v>4</v>
      </c>
      <c r="AB15">
        <v>14</v>
      </c>
      <c r="AD15">
        <v>6</v>
      </c>
      <c r="AE15">
        <v>4</v>
      </c>
      <c r="AG15">
        <v>5</v>
      </c>
      <c r="AH15">
        <v>7</v>
      </c>
      <c r="AJ15">
        <v>6</v>
      </c>
      <c r="AK15">
        <v>6</v>
      </c>
      <c r="AM15">
        <v>6</v>
      </c>
      <c r="AN15">
        <v>6</v>
      </c>
      <c r="AP15">
        <v>6</v>
      </c>
      <c r="AQ15">
        <v>3</v>
      </c>
      <c r="BY15">
        <v>14</v>
      </c>
      <c r="BZ15">
        <f t="shared" si="2"/>
        <v>-2</v>
      </c>
      <c r="CA15">
        <f t="shared" si="3"/>
        <v>2</v>
      </c>
      <c r="CB15">
        <f t="shared" si="4"/>
        <v>0</v>
      </c>
      <c r="CC15">
        <f t="shared" si="5"/>
        <v>0</v>
      </c>
      <c r="CD15">
        <f t="shared" si="6"/>
        <v>-3</v>
      </c>
    </row>
    <row r="16" spans="1:82" x14ac:dyDescent="0.3">
      <c r="A16">
        <v>1400</v>
      </c>
      <c r="B16">
        <v>67</v>
      </c>
      <c r="C16">
        <v>61</v>
      </c>
      <c r="E16">
        <f t="shared" si="0"/>
        <v>4</v>
      </c>
      <c r="F16">
        <f t="shared" si="1"/>
        <v>4</v>
      </c>
      <c r="AB16">
        <v>15</v>
      </c>
      <c r="AD16">
        <v>7</v>
      </c>
      <c r="AE16">
        <v>5</v>
      </c>
      <c r="AG16">
        <v>6</v>
      </c>
      <c r="AH16">
        <v>7</v>
      </c>
      <c r="AJ16">
        <v>7</v>
      </c>
      <c r="AK16">
        <v>7</v>
      </c>
      <c r="AM16">
        <v>7</v>
      </c>
      <c r="AN16">
        <v>7</v>
      </c>
      <c r="AP16">
        <v>6</v>
      </c>
      <c r="AQ16">
        <v>3</v>
      </c>
      <c r="BY16">
        <v>15</v>
      </c>
      <c r="BZ16">
        <f t="shared" si="2"/>
        <v>-2</v>
      </c>
      <c r="CA16">
        <f t="shared" si="3"/>
        <v>1</v>
      </c>
      <c r="CB16">
        <f t="shared" si="4"/>
        <v>0</v>
      </c>
      <c r="CC16">
        <f t="shared" si="5"/>
        <v>0</v>
      </c>
      <c r="CD16">
        <f t="shared" si="6"/>
        <v>-3</v>
      </c>
    </row>
    <row r="17" spans="1:82" x14ac:dyDescent="0.3">
      <c r="A17">
        <v>1500</v>
      </c>
      <c r="B17">
        <v>71</v>
      </c>
      <c r="C17">
        <v>65</v>
      </c>
      <c r="E17">
        <f t="shared" si="0"/>
        <v>4</v>
      </c>
      <c r="F17">
        <f t="shared" si="1"/>
        <v>4</v>
      </c>
      <c r="AB17">
        <v>16</v>
      </c>
      <c r="AD17">
        <v>7</v>
      </c>
      <c r="AE17">
        <v>5</v>
      </c>
      <c r="AG17">
        <v>6</v>
      </c>
      <c r="AH17">
        <v>8</v>
      </c>
      <c r="AJ17">
        <v>7</v>
      </c>
      <c r="AK17">
        <v>7</v>
      </c>
      <c r="AM17">
        <v>7</v>
      </c>
      <c r="AN17">
        <v>7</v>
      </c>
      <c r="AP17">
        <v>7</v>
      </c>
      <c r="AQ17">
        <v>4</v>
      </c>
      <c r="BY17">
        <v>16</v>
      </c>
      <c r="BZ17">
        <f t="shared" si="2"/>
        <v>-2</v>
      </c>
      <c r="CA17">
        <f t="shared" si="3"/>
        <v>2</v>
      </c>
      <c r="CB17">
        <f t="shared" si="4"/>
        <v>0</v>
      </c>
      <c r="CC17">
        <f t="shared" si="5"/>
        <v>0</v>
      </c>
      <c r="CD17">
        <f t="shared" si="6"/>
        <v>-3</v>
      </c>
    </row>
    <row r="18" spans="1:82" x14ac:dyDescent="0.3">
      <c r="A18">
        <v>1600</v>
      </c>
      <c r="B18">
        <v>78</v>
      </c>
      <c r="C18">
        <v>71</v>
      </c>
      <c r="E18">
        <f t="shared" si="0"/>
        <v>7</v>
      </c>
      <c r="F18">
        <f t="shared" si="1"/>
        <v>6</v>
      </c>
      <c r="AB18">
        <v>17</v>
      </c>
      <c r="AD18">
        <v>7</v>
      </c>
      <c r="AE18">
        <v>5</v>
      </c>
      <c r="AG18">
        <v>6</v>
      </c>
      <c r="AH18">
        <v>9</v>
      </c>
      <c r="AJ18">
        <v>7</v>
      </c>
      <c r="AK18">
        <v>8</v>
      </c>
      <c r="AM18">
        <v>7</v>
      </c>
      <c r="AN18">
        <v>7</v>
      </c>
      <c r="AP18">
        <v>7</v>
      </c>
      <c r="AQ18">
        <v>5</v>
      </c>
      <c r="BY18">
        <v>17</v>
      </c>
      <c r="BZ18">
        <f t="shared" si="2"/>
        <v>-2</v>
      </c>
      <c r="CA18">
        <f t="shared" si="3"/>
        <v>3</v>
      </c>
      <c r="CB18">
        <f t="shared" si="4"/>
        <v>1</v>
      </c>
      <c r="CC18">
        <f t="shared" si="5"/>
        <v>0</v>
      </c>
      <c r="CD18">
        <f t="shared" si="6"/>
        <v>-2</v>
      </c>
    </row>
    <row r="19" spans="1:82" x14ac:dyDescent="0.3">
      <c r="A19">
        <v>1700</v>
      </c>
      <c r="B19">
        <v>82</v>
      </c>
      <c r="C19">
        <v>76</v>
      </c>
      <c r="E19">
        <f t="shared" si="0"/>
        <v>4</v>
      </c>
      <c r="F19">
        <f t="shared" si="1"/>
        <v>5</v>
      </c>
      <c r="AB19">
        <v>18</v>
      </c>
      <c r="AD19">
        <v>8</v>
      </c>
      <c r="AE19">
        <v>6</v>
      </c>
      <c r="AG19">
        <v>7</v>
      </c>
      <c r="AH19">
        <v>10</v>
      </c>
      <c r="AJ19">
        <v>8</v>
      </c>
      <c r="AK19">
        <v>9</v>
      </c>
      <c r="AM19">
        <v>8</v>
      </c>
      <c r="AN19">
        <v>8</v>
      </c>
      <c r="AP19">
        <v>8</v>
      </c>
      <c r="AQ19">
        <v>5</v>
      </c>
      <c r="BY19">
        <v>18</v>
      </c>
      <c r="BZ19">
        <f t="shared" si="2"/>
        <v>-2</v>
      </c>
      <c r="CA19">
        <f t="shared" si="3"/>
        <v>3</v>
      </c>
      <c r="CB19">
        <f t="shared" si="4"/>
        <v>1</v>
      </c>
      <c r="CC19">
        <f t="shared" si="5"/>
        <v>0</v>
      </c>
      <c r="CD19">
        <f t="shared" si="6"/>
        <v>-3</v>
      </c>
    </row>
    <row r="20" spans="1:82" x14ac:dyDescent="0.3">
      <c r="A20">
        <v>1800</v>
      </c>
      <c r="B20">
        <v>86</v>
      </c>
      <c r="C20">
        <v>80</v>
      </c>
      <c r="E20">
        <f t="shared" si="0"/>
        <v>4</v>
      </c>
      <c r="F20">
        <f t="shared" si="1"/>
        <v>4</v>
      </c>
      <c r="AB20">
        <v>19</v>
      </c>
      <c r="AD20">
        <v>8</v>
      </c>
      <c r="AE20">
        <v>6</v>
      </c>
      <c r="AG20">
        <v>7</v>
      </c>
      <c r="AH20">
        <v>10</v>
      </c>
      <c r="AJ20">
        <v>9</v>
      </c>
      <c r="AK20">
        <v>9</v>
      </c>
      <c r="AM20">
        <v>8</v>
      </c>
      <c r="AN20">
        <v>9</v>
      </c>
      <c r="AP20">
        <v>8</v>
      </c>
      <c r="AQ20">
        <v>6</v>
      </c>
      <c r="BY20">
        <v>19</v>
      </c>
      <c r="BZ20">
        <f t="shared" si="2"/>
        <v>-2</v>
      </c>
      <c r="CA20">
        <f t="shared" si="3"/>
        <v>3</v>
      </c>
      <c r="CB20">
        <f t="shared" si="4"/>
        <v>0</v>
      </c>
      <c r="CC20">
        <f t="shared" si="5"/>
        <v>1</v>
      </c>
      <c r="CD20">
        <f t="shared" si="6"/>
        <v>-2</v>
      </c>
    </row>
    <row r="21" spans="1:82" x14ac:dyDescent="0.3">
      <c r="A21">
        <v>1900</v>
      </c>
      <c r="B21">
        <v>91</v>
      </c>
      <c r="C21">
        <v>84</v>
      </c>
      <c r="E21">
        <f t="shared" si="0"/>
        <v>5</v>
      </c>
      <c r="F21">
        <f t="shared" si="1"/>
        <v>4</v>
      </c>
      <c r="AB21">
        <v>20</v>
      </c>
      <c r="AD21">
        <v>9</v>
      </c>
      <c r="AE21">
        <v>7</v>
      </c>
      <c r="AG21">
        <v>8</v>
      </c>
      <c r="AH21">
        <v>10</v>
      </c>
      <c r="AJ21">
        <v>10</v>
      </c>
      <c r="AK21">
        <v>10</v>
      </c>
      <c r="AM21">
        <v>9</v>
      </c>
      <c r="AN21">
        <v>10</v>
      </c>
      <c r="AP21">
        <v>8</v>
      </c>
      <c r="AQ21">
        <v>6</v>
      </c>
      <c r="BY21">
        <v>20</v>
      </c>
      <c r="BZ21">
        <f t="shared" si="2"/>
        <v>-2</v>
      </c>
      <c r="CA21">
        <f t="shared" si="3"/>
        <v>2</v>
      </c>
      <c r="CB21">
        <f t="shared" si="4"/>
        <v>0</v>
      </c>
      <c r="CC21">
        <f t="shared" si="5"/>
        <v>1</v>
      </c>
      <c r="CD21">
        <f t="shared" si="6"/>
        <v>-2</v>
      </c>
    </row>
    <row r="22" spans="1:82" x14ac:dyDescent="0.3">
      <c r="A22">
        <v>2000</v>
      </c>
      <c r="B22">
        <v>95</v>
      </c>
      <c r="C22">
        <v>89</v>
      </c>
      <c r="E22">
        <f t="shared" si="0"/>
        <v>4</v>
      </c>
      <c r="F22">
        <f t="shared" si="1"/>
        <v>5</v>
      </c>
      <c r="AB22">
        <v>21</v>
      </c>
      <c r="AD22">
        <v>9</v>
      </c>
      <c r="AE22">
        <v>7</v>
      </c>
      <c r="AG22">
        <v>9</v>
      </c>
      <c r="AH22">
        <v>11</v>
      </c>
      <c r="AJ22">
        <v>10</v>
      </c>
      <c r="AK22">
        <v>10</v>
      </c>
      <c r="AM22">
        <v>9</v>
      </c>
      <c r="AN22">
        <v>10</v>
      </c>
      <c r="AP22">
        <v>9</v>
      </c>
      <c r="AQ22">
        <v>7</v>
      </c>
      <c r="BY22">
        <v>21</v>
      </c>
      <c r="BZ22">
        <f t="shared" si="2"/>
        <v>-2</v>
      </c>
      <c r="CA22">
        <f t="shared" si="3"/>
        <v>2</v>
      </c>
      <c r="CB22">
        <f t="shared" si="4"/>
        <v>0</v>
      </c>
      <c r="CC22">
        <f t="shared" si="5"/>
        <v>1</v>
      </c>
      <c r="CD22">
        <f t="shared" si="6"/>
        <v>-2</v>
      </c>
    </row>
    <row r="23" spans="1:82" x14ac:dyDescent="0.3">
      <c r="A23">
        <v>2100</v>
      </c>
      <c r="B23">
        <v>99</v>
      </c>
      <c r="C23">
        <v>93</v>
      </c>
      <c r="E23">
        <f t="shared" si="0"/>
        <v>4</v>
      </c>
      <c r="F23">
        <f t="shared" si="1"/>
        <v>4</v>
      </c>
      <c r="AB23">
        <v>22</v>
      </c>
      <c r="AD23">
        <v>9</v>
      </c>
      <c r="AE23">
        <v>7</v>
      </c>
      <c r="AG23">
        <v>10</v>
      </c>
      <c r="AH23">
        <v>11</v>
      </c>
      <c r="AJ23">
        <v>10</v>
      </c>
      <c r="AK23">
        <v>11</v>
      </c>
      <c r="AM23">
        <v>9</v>
      </c>
      <c r="AN23">
        <v>10</v>
      </c>
      <c r="AP23">
        <v>9</v>
      </c>
      <c r="AQ23">
        <v>7</v>
      </c>
      <c r="BY23">
        <v>22</v>
      </c>
      <c r="BZ23">
        <f t="shared" si="2"/>
        <v>-2</v>
      </c>
      <c r="CA23">
        <f t="shared" si="3"/>
        <v>1</v>
      </c>
      <c r="CB23">
        <f t="shared" si="4"/>
        <v>1</v>
      </c>
      <c r="CC23">
        <f t="shared" si="5"/>
        <v>1</v>
      </c>
      <c r="CD23">
        <f t="shared" si="6"/>
        <v>-2</v>
      </c>
    </row>
    <row r="24" spans="1:82" x14ac:dyDescent="0.3">
      <c r="A24">
        <v>2200</v>
      </c>
      <c r="B24">
        <v>103</v>
      </c>
      <c r="C24">
        <v>97</v>
      </c>
      <c r="E24">
        <f t="shared" si="0"/>
        <v>4</v>
      </c>
      <c r="F24">
        <f t="shared" si="1"/>
        <v>4</v>
      </c>
      <c r="AB24">
        <v>23</v>
      </c>
      <c r="AD24">
        <v>10</v>
      </c>
      <c r="AE24">
        <v>8</v>
      </c>
      <c r="AG24">
        <v>10</v>
      </c>
      <c r="AH24">
        <v>12</v>
      </c>
      <c r="AJ24">
        <v>11</v>
      </c>
      <c r="AK24">
        <v>11</v>
      </c>
      <c r="AM24">
        <v>10</v>
      </c>
      <c r="AN24">
        <v>11</v>
      </c>
      <c r="AP24">
        <v>10</v>
      </c>
      <c r="AQ24">
        <v>8</v>
      </c>
      <c r="BY24">
        <v>23</v>
      </c>
      <c r="BZ24">
        <f t="shared" si="2"/>
        <v>-2</v>
      </c>
      <c r="CA24">
        <f t="shared" si="3"/>
        <v>2</v>
      </c>
      <c r="CB24">
        <f t="shared" si="4"/>
        <v>0</v>
      </c>
      <c r="CC24">
        <f t="shared" si="5"/>
        <v>1</v>
      </c>
      <c r="CD24">
        <f t="shared" si="6"/>
        <v>-2</v>
      </c>
    </row>
    <row r="25" spans="1:82" x14ac:dyDescent="0.3">
      <c r="A25">
        <v>2300</v>
      </c>
      <c r="B25">
        <v>110</v>
      </c>
      <c r="C25">
        <v>101</v>
      </c>
      <c r="E25">
        <f t="shared" si="0"/>
        <v>7</v>
      </c>
      <c r="F25">
        <f t="shared" si="1"/>
        <v>4</v>
      </c>
      <c r="AB25">
        <v>24</v>
      </c>
      <c r="AD25">
        <v>10</v>
      </c>
      <c r="AE25">
        <v>8</v>
      </c>
      <c r="AG25">
        <v>10</v>
      </c>
      <c r="AH25">
        <v>12</v>
      </c>
      <c r="AJ25">
        <v>11</v>
      </c>
      <c r="AK25">
        <v>11</v>
      </c>
      <c r="AM25">
        <v>11</v>
      </c>
      <c r="AN25">
        <v>11</v>
      </c>
      <c r="AP25">
        <v>10</v>
      </c>
      <c r="AQ25">
        <v>8</v>
      </c>
      <c r="BY25">
        <v>24</v>
      </c>
      <c r="BZ25">
        <f t="shared" si="2"/>
        <v>-2</v>
      </c>
      <c r="CA25">
        <f t="shared" si="3"/>
        <v>2</v>
      </c>
      <c r="CB25">
        <f t="shared" si="4"/>
        <v>0</v>
      </c>
      <c r="CC25">
        <f t="shared" si="5"/>
        <v>0</v>
      </c>
      <c r="CD25">
        <f t="shared" si="6"/>
        <v>-2</v>
      </c>
    </row>
    <row r="26" spans="1:82" x14ac:dyDescent="0.3">
      <c r="A26">
        <v>2400</v>
      </c>
      <c r="B26">
        <v>114</v>
      </c>
      <c r="C26">
        <v>106</v>
      </c>
      <c r="E26">
        <f t="shared" si="0"/>
        <v>4</v>
      </c>
      <c r="F26">
        <f t="shared" si="1"/>
        <v>5</v>
      </c>
      <c r="AB26">
        <v>25</v>
      </c>
      <c r="AD26">
        <v>11</v>
      </c>
      <c r="AE26">
        <v>9</v>
      </c>
      <c r="AG26">
        <v>11</v>
      </c>
      <c r="AH26">
        <v>12</v>
      </c>
      <c r="AJ26">
        <v>12</v>
      </c>
      <c r="AK26">
        <v>12</v>
      </c>
      <c r="AM26">
        <v>12</v>
      </c>
      <c r="AN26">
        <v>12</v>
      </c>
      <c r="AP26">
        <v>10</v>
      </c>
      <c r="AQ26">
        <v>8</v>
      </c>
      <c r="BY26">
        <v>25</v>
      </c>
      <c r="BZ26">
        <f t="shared" si="2"/>
        <v>-2</v>
      </c>
      <c r="CA26">
        <f t="shared" si="3"/>
        <v>1</v>
      </c>
      <c r="CB26">
        <f t="shared" si="4"/>
        <v>0</v>
      </c>
      <c r="CC26">
        <f t="shared" si="5"/>
        <v>0</v>
      </c>
      <c r="CD26">
        <f t="shared" si="6"/>
        <v>-2</v>
      </c>
    </row>
    <row r="27" spans="1:82" x14ac:dyDescent="0.3">
      <c r="A27">
        <v>2500</v>
      </c>
      <c r="B27">
        <v>118</v>
      </c>
      <c r="C27">
        <v>110</v>
      </c>
      <c r="E27">
        <f t="shared" si="0"/>
        <v>4</v>
      </c>
      <c r="F27">
        <f t="shared" si="1"/>
        <v>4</v>
      </c>
      <c r="AB27">
        <v>26</v>
      </c>
      <c r="AD27">
        <v>11</v>
      </c>
      <c r="AE27">
        <v>9</v>
      </c>
      <c r="AG27">
        <v>11</v>
      </c>
      <c r="AH27">
        <v>13</v>
      </c>
      <c r="AJ27">
        <v>12</v>
      </c>
      <c r="AK27">
        <v>13</v>
      </c>
      <c r="AM27">
        <v>12</v>
      </c>
      <c r="AN27">
        <v>13</v>
      </c>
      <c r="AP27">
        <v>11</v>
      </c>
      <c r="AQ27">
        <v>9</v>
      </c>
      <c r="BY27">
        <v>26</v>
      </c>
      <c r="BZ27">
        <f t="shared" si="2"/>
        <v>-2</v>
      </c>
      <c r="CA27">
        <f t="shared" si="3"/>
        <v>2</v>
      </c>
      <c r="CB27">
        <f t="shared" si="4"/>
        <v>1</v>
      </c>
      <c r="CC27">
        <f t="shared" si="5"/>
        <v>1</v>
      </c>
      <c r="CD27">
        <f t="shared" si="6"/>
        <v>-2</v>
      </c>
    </row>
    <row r="28" spans="1:82" x14ac:dyDescent="0.3">
      <c r="A28">
        <v>2600</v>
      </c>
      <c r="B28">
        <v>123</v>
      </c>
      <c r="C28">
        <v>114</v>
      </c>
      <c r="E28">
        <f t="shared" si="0"/>
        <v>5</v>
      </c>
      <c r="F28">
        <f t="shared" si="1"/>
        <v>4</v>
      </c>
      <c r="AB28">
        <v>27</v>
      </c>
      <c r="AD28">
        <v>11</v>
      </c>
      <c r="AE28">
        <v>9</v>
      </c>
      <c r="AG28">
        <v>12</v>
      </c>
      <c r="AH28">
        <v>13</v>
      </c>
      <c r="AJ28">
        <v>13</v>
      </c>
      <c r="AK28">
        <v>14</v>
      </c>
      <c r="AM28">
        <v>12</v>
      </c>
      <c r="AN28">
        <v>13</v>
      </c>
      <c r="AP28">
        <v>11</v>
      </c>
      <c r="AQ28">
        <v>9</v>
      </c>
      <c r="BY28">
        <v>27</v>
      </c>
      <c r="BZ28">
        <f t="shared" si="2"/>
        <v>-2</v>
      </c>
      <c r="CA28">
        <f t="shared" si="3"/>
        <v>1</v>
      </c>
      <c r="CB28">
        <f t="shared" si="4"/>
        <v>1</v>
      </c>
      <c r="CC28">
        <f t="shared" si="5"/>
        <v>1</v>
      </c>
      <c r="CD28">
        <f t="shared" si="6"/>
        <v>-2</v>
      </c>
    </row>
    <row r="29" spans="1:82" x14ac:dyDescent="0.3">
      <c r="A29">
        <v>2700</v>
      </c>
      <c r="B29">
        <v>127</v>
      </c>
      <c r="C29">
        <v>119</v>
      </c>
      <c r="E29">
        <f t="shared" si="0"/>
        <v>4</v>
      </c>
      <c r="F29">
        <f t="shared" si="1"/>
        <v>5</v>
      </c>
      <c r="AB29">
        <v>28</v>
      </c>
      <c r="AD29">
        <v>12</v>
      </c>
      <c r="AE29">
        <v>10</v>
      </c>
      <c r="AG29">
        <v>12</v>
      </c>
      <c r="AH29">
        <v>14</v>
      </c>
      <c r="AJ29">
        <v>13</v>
      </c>
      <c r="AK29">
        <v>15</v>
      </c>
      <c r="AM29">
        <v>13</v>
      </c>
      <c r="AN29">
        <v>14</v>
      </c>
      <c r="AP29">
        <v>12</v>
      </c>
      <c r="AQ29">
        <v>10</v>
      </c>
      <c r="BY29">
        <v>28</v>
      </c>
      <c r="BZ29">
        <f t="shared" si="2"/>
        <v>-2</v>
      </c>
      <c r="CA29">
        <f t="shared" si="3"/>
        <v>2</v>
      </c>
      <c r="CB29">
        <f t="shared" si="4"/>
        <v>2</v>
      </c>
      <c r="CC29">
        <f t="shared" si="5"/>
        <v>1</v>
      </c>
      <c r="CD29">
        <f t="shared" si="6"/>
        <v>-2</v>
      </c>
    </row>
    <row r="30" spans="1:82" x14ac:dyDescent="0.3">
      <c r="A30">
        <v>2800</v>
      </c>
      <c r="B30">
        <v>131</v>
      </c>
      <c r="C30">
        <v>123</v>
      </c>
      <c r="E30">
        <f t="shared" si="0"/>
        <v>4</v>
      </c>
      <c r="F30">
        <f t="shared" si="1"/>
        <v>4</v>
      </c>
      <c r="AB30">
        <v>29</v>
      </c>
      <c r="AD30">
        <v>12</v>
      </c>
      <c r="AE30">
        <v>10</v>
      </c>
      <c r="AG30">
        <v>12</v>
      </c>
      <c r="AH30">
        <v>14</v>
      </c>
      <c r="AJ30">
        <v>14</v>
      </c>
      <c r="AK30">
        <v>15</v>
      </c>
      <c r="AM30">
        <v>13</v>
      </c>
      <c r="AN30">
        <v>14</v>
      </c>
      <c r="AP30">
        <v>12</v>
      </c>
      <c r="AQ30">
        <v>10</v>
      </c>
      <c r="BY30">
        <v>29</v>
      </c>
      <c r="BZ30">
        <f t="shared" si="2"/>
        <v>-2</v>
      </c>
      <c r="CA30">
        <f t="shared" si="3"/>
        <v>2</v>
      </c>
      <c r="CB30">
        <f t="shared" si="4"/>
        <v>1</v>
      </c>
      <c r="CC30">
        <f t="shared" si="5"/>
        <v>1</v>
      </c>
      <c r="CD30">
        <f t="shared" si="6"/>
        <v>-2</v>
      </c>
    </row>
    <row r="31" spans="1:82" x14ac:dyDescent="0.3">
      <c r="A31">
        <v>2900</v>
      </c>
      <c r="B31">
        <v>136</v>
      </c>
      <c r="C31">
        <v>127</v>
      </c>
      <c r="E31">
        <f t="shared" si="0"/>
        <v>5</v>
      </c>
      <c r="F31">
        <f t="shared" si="1"/>
        <v>4</v>
      </c>
      <c r="AB31">
        <v>30</v>
      </c>
      <c r="AD31">
        <v>13</v>
      </c>
      <c r="AE31">
        <v>10</v>
      </c>
      <c r="AG31">
        <v>13</v>
      </c>
      <c r="AH31">
        <v>14</v>
      </c>
      <c r="AJ31">
        <v>15</v>
      </c>
      <c r="AK31">
        <v>16</v>
      </c>
      <c r="AM31">
        <v>14</v>
      </c>
      <c r="AN31">
        <v>15</v>
      </c>
      <c r="AP31">
        <v>12</v>
      </c>
      <c r="AQ31">
        <v>10</v>
      </c>
      <c r="BY31">
        <v>30</v>
      </c>
      <c r="BZ31">
        <f t="shared" si="2"/>
        <v>-3</v>
      </c>
      <c r="CA31">
        <f t="shared" si="3"/>
        <v>1</v>
      </c>
      <c r="CB31">
        <f t="shared" si="4"/>
        <v>1</v>
      </c>
      <c r="CC31">
        <f t="shared" si="5"/>
        <v>1</v>
      </c>
      <c r="CD31">
        <f t="shared" si="6"/>
        <v>-2</v>
      </c>
    </row>
    <row r="32" spans="1:82" x14ac:dyDescent="0.3">
      <c r="A32">
        <v>3000</v>
      </c>
      <c r="B32">
        <v>140</v>
      </c>
      <c r="C32">
        <v>133</v>
      </c>
      <c r="E32">
        <f t="shared" si="0"/>
        <v>4</v>
      </c>
      <c r="F32">
        <f t="shared" si="1"/>
        <v>6</v>
      </c>
      <c r="AB32">
        <v>31</v>
      </c>
      <c r="AD32">
        <v>13</v>
      </c>
      <c r="AE32">
        <v>11</v>
      </c>
      <c r="AG32">
        <v>13</v>
      </c>
      <c r="AH32">
        <v>15</v>
      </c>
      <c r="AJ32">
        <v>15</v>
      </c>
      <c r="AK32">
        <v>16</v>
      </c>
      <c r="AM32">
        <v>14</v>
      </c>
      <c r="AN32">
        <v>15</v>
      </c>
      <c r="AP32">
        <v>13</v>
      </c>
      <c r="AQ32">
        <v>11</v>
      </c>
      <c r="BY32">
        <v>31</v>
      </c>
      <c r="BZ32">
        <f t="shared" si="2"/>
        <v>-2</v>
      </c>
      <c r="CA32">
        <f t="shared" si="3"/>
        <v>2</v>
      </c>
      <c r="CB32">
        <f t="shared" si="4"/>
        <v>1</v>
      </c>
      <c r="CC32">
        <f t="shared" si="5"/>
        <v>1</v>
      </c>
      <c r="CD32">
        <f t="shared" si="6"/>
        <v>-2</v>
      </c>
    </row>
    <row r="33" spans="1:82" x14ac:dyDescent="0.3">
      <c r="A33">
        <v>3100</v>
      </c>
      <c r="B33">
        <v>144</v>
      </c>
      <c r="C33">
        <v>138</v>
      </c>
      <c r="E33">
        <f t="shared" si="0"/>
        <v>4</v>
      </c>
      <c r="F33">
        <f t="shared" si="1"/>
        <v>5</v>
      </c>
      <c r="AB33">
        <v>32</v>
      </c>
      <c r="AD33">
        <v>13</v>
      </c>
      <c r="AE33">
        <v>11</v>
      </c>
      <c r="AG33">
        <v>14</v>
      </c>
      <c r="AH33">
        <v>15</v>
      </c>
      <c r="AJ33">
        <v>16</v>
      </c>
      <c r="AK33">
        <v>17</v>
      </c>
      <c r="AM33">
        <v>14</v>
      </c>
      <c r="AN33">
        <v>15</v>
      </c>
      <c r="AP33">
        <v>13</v>
      </c>
      <c r="AQ33">
        <v>11</v>
      </c>
      <c r="BY33">
        <v>32</v>
      </c>
      <c r="BZ33">
        <f t="shared" si="2"/>
        <v>-2</v>
      </c>
      <c r="CA33">
        <f t="shared" si="3"/>
        <v>1</v>
      </c>
      <c r="CB33">
        <f t="shared" si="4"/>
        <v>1</v>
      </c>
      <c r="CC33">
        <f t="shared" si="5"/>
        <v>1</v>
      </c>
      <c r="CD33">
        <f t="shared" si="6"/>
        <v>-2</v>
      </c>
    </row>
    <row r="34" spans="1:82" x14ac:dyDescent="0.3">
      <c r="A34">
        <v>3200</v>
      </c>
      <c r="B34">
        <v>148</v>
      </c>
      <c r="C34">
        <v>144</v>
      </c>
      <c r="E34">
        <f t="shared" si="0"/>
        <v>4</v>
      </c>
      <c r="F34">
        <f t="shared" si="1"/>
        <v>6</v>
      </c>
      <c r="AB34">
        <v>33</v>
      </c>
      <c r="AD34">
        <v>14</v>
      </c>
      <c r="AE34">
        <v>12</v>
      </c>
      <c r="AG34">
        <v>14</v>
      </c>
      <c r="AH34">
        <v>16</v>
      </c>
      <c r="AJ34">
        <v>17</v>
      </c>
      <c r="AK34">
        <v>18</v>
      </c>
      <c r="AM34">
        <v>15</v>
      </c>
      <c r="AN34">
        <v>16</v>
      </c>
      <c r="AP34">
        <v>14</v>
      </c>
      <c r="AQ34">
        <v>12</v>
      </c>
      <c r="BY34">
        <v>33</v>
      </c>
      <c r="BZ34">
        <f t="shared" si="2"/>
        <v>-2</v>
      </c>
      <c r="CA34">
        <f t="shared" si="3"/>
        <v>2</v>
      </c>
      <c r="CB34">
        <f t="shared" si="4"/>
        <v>1</v>
      </c>
      <c r="CC34">
        <f t="shared" si="5"/>
        <v>1</v>
      </c>
      <c r="CD34">
        <f t="shared" si="6"/>
        <v>-2</v>
      </c>
    </row>
    <row r="35" spans="1:82" x14ac:dyDescent="0.3">
      <c r="A35">
        <v>3300</v>
      </c>
      <c r="B35">
        <v>153</v>
      </c>
      <c r="C35">
        <v>149</v>
      </c>
      <c r="E35">
        <f t="shared" si="0"/>
        <v>5</v>
      </c>
      <c r="F35">
        <f t="shared" si="1"/>
        <v>5</v>
      </c>
      <c r="AB35">
        <v>34</v>
      </c>
      <c r="AD35">
        <v>14</v>
      </c>
      <c r="AE35">
        <v>13</v>
      </c>
      <c r="AG35">
        <v>14</v>
      </c>
      <c r="AH35">
        <v>17</v>
      </c>
      <c r="AJ35">
        <v>17</v>
      </c>
      <c r="AK35">
        <v>18</v>
      </c>
      <c r="AM35">
        <v>15</v>
      </c>
      <c r="AN35">
        <v>16</v>
      </c>
      <c r="AP35">
        <v>14</v>
      </c>
      <c r="AQ35">
        <v>12</v>
      </c>
      <c r="BY35">
        <v>34</v>
      </c>
      <c r="BZ35">
        <f t="shared" si="2"/>
        <v>-1</v>
      </c>
      <c r="CA35">
        <f t="shared" si="3"/>
        <v>3</v>
      </c>
      <c r="CB35">
        <f t="shared" si="4"/>
        <v>1</v>
      </c>
      <c r="CC35">
        <f t="shared" si="5"/>
        <v>1</v>
      </c>
      <c r="CD35">
        <f t="shared" si="6"/>
        <v>-2</v>
      </c>
    </row>
    <row r="36" spans="1:82" x14ac:dyDescent="0.3">
      <c r="A36">
        <v>3400</v>
      </c>
      <c r="B36">
        <v>159</v>
      </c>
      <c r="C36">
        <v>153</v>
      </c>
      <c r="E36">
        <f t="shared" si="0"/>
        <v>6</v>
      </c>
      <c r="F36">
        <f t="shared" si="1"/>
        <v>4</v>
      </c>
      <c r="AB36">
        <v>35</v>
      </c>
      <c r="AD36">
        <v>15</v>
      </c>
      <c r="AE36">
        <v>13</v>
      </c>
      <c r="AG36">
        <v>15</v>
      </c>
      <c r="AH36">
        <v>17</v>
      </c>
      <c r="AJ36">
        <v>18</v>
      </c>
      <c r="AK36">
        <v>19</v>
      </c>
      <c r="AM36">
        <v>16</v>
      </c>
      <c r="AN36">
        <v>17</v>
      </c>
      <c r="AP36">
        <v>14</v>
      </c>
      <c r="AQ36">
        <v>13</v>
      </c>
      <c r="BY36">
        <v>35</v>
      </c>
      <c r="BZ36">
        <f t="shared" si="2"/>
        <v>-2</v>
      </c>
      <c r="CA36">
        <f t="shared" si="3"/>
        <v>2</v>
      </c>
      <c r="CB36">
        <f t="shared" si="4"/>
        <v>1</v>
      </c>
      <c r="CC36">
        <f t="shared" si="5"/>
        <v>1</v>
      </c>
      <c r="CD36">
        <f t="shared" si="6"/>
        <v>-1</v>
      </c>
    </row>
    <row r="37" spans="1:82" x14ac:dyDescent="0.3">
      <c r="A37">
        <v>3500</v>
      </c>
      <c r="B37">
        <v>163</v>
      </c>
      <c r="C37">
        <v>157</v>
      </c>
      <c r="E37">
        <f t="shared" si="0"/>
        <v>4</v>
      </c>
      <c r="F37">
        <f t="shared" si="1"/>
        <v>4</v>
      </c>
      <c r="AB37">
        <v>36</v>
      </c>
      <c r="AD37">
        <v>15</v>
      </c>
      <c r="AE37">
        <v>14</v>
      </c>
      <c r="AG37">
        <v>15</v>
      </c>
      <c r="AH37">
        <v>18</v>
      </c>
      <c r="AJ37">
        <v>18</v>
      </c>
      <c r="AK37">
        <v>19</v>
      </c>
      <c r="AM37">
        <v>16</v>
      </c>
      <c r="AN37">
        <v>17</v>
      </c>
      <c r="AP37">
        <v>15</v>
      </c>
      <c r="AQ37">
        <v>13</v>
      </c>
      <c r="BY37">
        <v>36</v>
      </c>
      <c r="BZ37">
        <f t="shared" si="2"/>
        <v>-1</v>
      </c>
      <c r="CA37">
        <f t="shared" si="3"/>
        <v>3</v>
      </c>
      <c r="CB37">
        <f t="shared" si="4"/>
        <v>1</v>
      </c>
      <c r="CC37">
        <f t="shared" si="5"/>
        <v>1</v>
      </c>
      <c r="CD37">
        <f t="shared" si="6"/>
        <v>-2</v>
      </c>
    </row>
    <row r="38" spans="1:82" x14ac:dyDescent="0.3">
      <c r="A38">
        <v>3600</v>
      </c>
      <c r="B38">
        <v>168</v>
      </c>
      <c r="C38">
        <v>161</v>
      </c>
      <c r="E38">
        <f t="shared" si="0"/>
        <v>5</v>
      </c>
      <c r="F38">
        <f t="shared" si="1"/>
        <v>4</v>
      </c>
      <c r="AB38">
        <v>37</v>
      </c>
      <c r="AD38">
        <v>15</v>
      </c>
      <c r="AE38">
        <v>14</v>
      </c>
      <c r="AG38">
        <v>16</v>
      </c>
      <c r="AH38">
        <v>18</v>
      </c>
      <c r="AJ38">
        <v>19</v>
      </c>
      <c r="AK38">
        <v>20</v>
      </c>
      <c r="AM38">
        <v>17</v>
      </c>
      <c r="AN38">
        <v>17</v>
      </c>
      <c r="AP38">
        <v>15</v>
      </c>
      <c r="AQ38">
        <v>14</v>
      </c>
      <c r="BY38">
        <v>37</v>
      </c>
      <c r="BZ38">
        <f t="shared" si="2"/>
        <v>-1</v>
      </c>
      <c r="CA38">
        <f t="shared" si="3"/>
        <v>2</v>
      </c>
      <c r="CB38">
        <f t="shared" si="4"/>
        <v>1</v>
      </c>
      <c r="CC38">
        <f t="shared" si="5"/>
        <v>0</v>
      </c>
      <c r="CD38">
        <f t="shared" si="6"/>
        <v>-1</v>
      </c>
    </row>
    <row r="39" spans="1:82" x14ac:dyDescent="0.3">
      <c r="A39">
        <v>3700</v>
      </c>
      <c r="B39">
        <v>172</v>
      </c>
      <c r="C39">
        <v>165</v>
      </c>
      <c r="E39">
        <f t="shared" si="0"/>
        <v>4</v>
      </c>
      <c r="F39">
        <f t="shared" si="1"/>
        <v>4</v>
      </c>
      <c r="AB39">
        <v>38</v>
      </c>
      <c r="AD39">
        <v>16</v>
      </c>
      <c r="AE39">
        <v>15</v>
      </c>
      <c r="AG39">
        <v>16</v>
      </c>
      <c r="AH39">
        <v>19</v>
      </c>
      <c r="AJ39">
        <v>19</v>
      </c>
      <c r="AK39">
        <v>20</v>
      </c>
      <c r="AM39">
        <v>17</v>
      </c>
      <c r="AN39">
        <v>18</v>
      </c>
      <c r="AP39">
        <v>16</v>
      </c>
      <c r="AQ39">
        <v>14</v>
      </c>
      <c r="BY39">
        <v>38</v>
      </c>
      <c r="BZ39">
        <f t="shared" si="2"/>
        <v>-1</v>
      </c>
      <c r="CA39">
        <f t="shared" si="3"/>
        <v>3</v>
      </c>
      <c r="CB39">
        <f t="shared" si="4"/>
        <v>1</v>
      </c>
      <c r="CC39">
        <f t="shared" si="5"/>
        <v>1</v>
      </c>
      <c r="CD39">
        <f t="shared" si="6"/>
        <v>-2</v>
      </c>
    </row>
    <row r="40" spans="1:82" x14ac:dyDescent="0.3">
      <c r="A40">
        <v>3800</v>
      </c>
      <c r="B40">
        <v>176</v>
      </c>
      <c r="C40">
        <v>170</v>
      </c>
      <c r="E40">
        <f t="shared" si="0"/>
        <v>4</v>
      </c>
      <c r="F40">
        <f t="shared" si="1"/>
        <v>5</v>
      </c>
      <c r="AB40">
        <v>39</v>
      </c>
      <c r="AD40">
        <v>16</v>
      </c>
      <c r="AE40">
        <v>15</v>
      </c>
      <c r="AG40">
        <v>16</v>
      </c>
      <c r="AH40">
        <v>19</v>
      </c>
      <c r="AM40">
        <v>17</v>
      </c>
      <c r="AN40">
        <v>18</v>
      </c>
      <c r="AP40">
        <v>16</v>
      </c>
      <c r="AQ40">
        <v>14</v>
      </c>
      <c r="BY40">
        <v>39</v>
      </c>
      <c r="BZ40">
        <f t="shared" si="2"/>
        <v>-1</v>
      </c>
      <c r="CA40">
        <f t="shared" si="3"/>
        <v>3</v>
      </c>
      <c r="CC40">
        <f t="shared" si="5"/>
        <v>1</v>
      </c>
      <c r="CD40">
        <f t="shared" si="6"/>
        <v>-2</v>
      </c>
    </row>
    <row r="41" spans="1:82" x14ac:dyDescent="0.3">
      <c r="A41">
        <v>3900</v>
      </c>
      <c r="B41">
        <v>181</v>
      </c>
      <c r="C41">
        <v>174</v>
      </c>
      <c r="E41">
        <f t="shared" si="0"/>
        <v>5</v>
      </c>
      <c r="F41">
        <f t="shared" si="1"/>
        <v>4</v>
      </c>
      <c r="AB41">
        <v>40</v>
      </c>
      <c r="AD41">
        <v>17</v>
      </c>
      <c r="AE41">
        <v>15</v>
      </c>
      <c r="AG41">
        <v>17</v>
      </c>
      <c r="AH41">
        <v>19</v>
      </c>
      <c r="AM41">
        <v>18</v>
      </c>
      <c r="AN41">
        <v>19</v>
      </c>
      <c r="AP41">
        <v>17</v>
      </c>
      <c r="AQ41">
        <v>15</v>
      </c>
      <c r="BY41">
        <v>40</v>
      </c>
      <c r="BZ41">
        <f t="shared" si="2"/>
        <v>-2</v>
      </c>
      <c r="CA41">
        <f t="shared" si="3"/>
        <v>2</v>
      </c>
      <c r="CC41">
        <f t="shared" si="5"/>
        <v>1</v>
      </c>
      <c r="CD41">
        <f t="shared" si="6"/>
        <v>-2</v>
      </c>
    </row>
    <row r="42" spans="1:82" x14ac:dyDescent="0.3">
      <c r="A42">
        <v>4000</v>
      </c>
      <c r="B42">
        <v>185</v>
      </c>
      <c r="C42">
        <v>179</v>
      </c>
      <c r="E42">
        <f t="shared" si="0"/>
        <v>4</v>
      </c>
      <c r="F42">
        <f t="shared" si="1"/>
        <v>5</v>
      </c>
      <c r="AB42">
        <v>41</v>
      </c>
      <c r="AD42">
        <v>18</v>
      </c>
      <c r="AE42">
        <v>16</v>
      </c>
      <c r="AG42">
        <v>17</v>
      </c>
      <c r="AH42">
        <v>20</v>
      </c>
      <c r="AM42">
        <v>18</v>
      </c>
      <c r="AN42">
        <v>20</v>
      </c>
      <c r="AP42">
        <v>17</v>
      </c>
      <c r="AQ42">
        <v>15</v>
      </c>
      <c r="BY42">
        <v>41</v>
      </c>
      <c r="BZ42">
        <f t="shared" si="2"/>
        <v>-2</v>
      </c>
      <c r="CA42">
        <f t="shared" si="3"/>
        <v>3</v>
      </c>
      <c r="CC42">
        <f t="shared" si="5"/>
        <v>2</v>
      </c>
      <c r="CD42">
        <f t="shared" si="6"/>
        <v>-2</v>
      </c>
    </row>
    <row r="43" spans="1:82" x14ac:dyDescent="0.3">
      <c r="A43" s="1">
        <v>4100</v>
      </c>
      <c r="B43" s="1">
        <v>189</v>
      </c>
      <c r="C43" s="1">
        <v>183</v>
      </c>
      <c r="E43">
        <f t="shared" si="0"/>
        <v>4</v>
      </c>
      <c r="F43">
        <f t="shared" si="1"/>
        <v>4</v>
      </c>
      <c r="AB43">
        <v>42</v>
      </c>
      <c r="AD43">
        <v>18</v>
      </c>
      <c r="AE43">
        <v>16</v>
      </c>
      <c r="AG43">
        <v>18</v>
      </c>
      <c r="AH43">
        <v>20</v>
      </c>
      <c r="AM43">
        <v>19</v>
      </c>
      <c r="AN43">
        <v>20</v>
      </c>
      <c r="AP43">
        <v>18</v>
      </c>
      <c r="AQ43">
        <v>16</v>
      </c>
      <c r="BY43">
        <v>42</v>
      </c>
      <c r="BZ43">
        <f t="shared" si="2"/>
        <v>-2</v>
      </c>
      <c r="CA43">
        <f t="shared" si="3"/>
        <v>2</v>
      </c>
      <c r="CC43">
        <f t="shared" si="5"/>
        <v>1</v>
      </c>
      <c r="CD43">
        <f t="shared" si="6"/>
        <v>-2</v>
      </c>
    </row>
    <row r="44" spans="1:82" x14ac:dyDescent="0.3">
      <c r="A44" s="1">
        <v>4200</v>
      </c>
      <c r="B44" s="1">
        <v>194</v>
      </c>
      <c r="C44" s="1">
        <v>187</v>
      </c>
      <c r="E44">
        <f t="shared" si="0"/>
        <v>5</v>
      </c>
      <c r="F44">
        <f t="shared" si="1"/>
        <v>4</v>
      </c>
      <c r="AB44">
        <v>43</v>
      </c>
      <c r="AD44">
        <v>19</v>
      </c>
      <c r="AE44">
        <v>17</v>
      </c>
      <c r="AG44">
        <v>18</v>
      </c>
      <c r="AH44">
        <v>20</v>
      </c>
      <c r="AM44">
        <v>19</v>
      </c>
      <c r="AN44">
        <v>20</v>
      </c>
      <c r="AP44">
        <v>19</v>
      </c>
      <c r="AQ44">
        <v>17</v>
      </c>
      <c r="BY44">
        <v>43</v>
      </c>
      <c r="BZ44">
        <f t="shared" si="2"/>
        <v>-2</v>
      </c>
      <c r="CA44">
        <f t="shared" si="3"/>
        <v>2</v>
      </c>
      <c r="CC44">
        <f t="shared" si="5"/>
        <v>1</v>
      </c>
      <c r="CD44">
        <f t="shared" si="6"/>
        <v>-2</v>
      </c>
    </row>
    <row r="45" spans="1:82" x14ac:dyDescent="0.3">
      <c r="A45" s="1">
        <v>4300</v>
      </c>
      <c r="B45" s="1">
        <v>198</v>
      </c>
      <c r="C45" s="1">
        <v>191</v>
      </c>
      <c r="E45">
        <f t="shared" si="0"/>
        <v>4</v>
      </c>
      <c r="F45">
        <f t="shared" si="1"/>
        <v>4</v>
      </c>
      <c r="AB45">
        <v>44</v>
      </c>
      <c r="AD45">
        <v>20</v>
      </c>
      <c r="AE45">
        <v>17</v>
      </c>
      <c r="AG45">
        <v>19</v>
      </c>
      <c r="AH45">
        <v>20</v>
      </c>
      <c r="AP45">
        <v>19</v>
      </c>
      <c r="AQ45">
        <v>17</v>
      </c>
      <c r="BY45">
        <v>44</v>
      </c>
      <c r="BZ45">
        <f t="shared" si="2"/>
        <v>-3</v>
      </c>
      <c r="CA45">
        <f t="shared" si="3"/>
        <v>1</v>
      </c>
      <c r="CD45">
        <f t="shared" si="6"/>
        <v>-2</v>
      </c>
    </row>
    <row r="46" spans="1:82" x14ac:dyDescent="0.3">
      <c r="A46" s="1">
        <v>4400</v>
      </c>
      <c r="B46" s="1">
        <v>202</v>
      </c>
      <c r="C46" s="1">
        <v>195</v>
      </c>
      <c r="E46">
        <f t="shared" si="0"/>
        <v>4</v>
      </c>
      <c r="F46">
        <f t="shared" si="1"/>
        <v>4</v>
      </c>
      <c r="AB46">
        <v>45</v>
      </c>
      <c r="AD46">
        <v>20</v>
      </c>
      <c r="AE46">
        <v>17</v>
      </c>
      <c r="AG46">
        <v>19</v>
      </c>
      <c r="AH46">
        <v>20</v>
      </c>
      <c r="AP46">
        <v>20</v>
      </c>
      <c r="AQ46">
        <v>18</v>
      </c>
      <c r="BY46">
        <v>45</v>
      </c>
      <c r="BZ46">
        <f t="shared" si="2"/>
        <v>-3</v>
      </c>
      <c r="CA46">
        <f t="shared" si="3"/>
        <v>1</v>
      </c>
      <c r="CD46">
        <f t="shared" si="6"/>
        <v>-2</v>
      </c>
    </row>
    <row r="47" spans="1:82" x14ac:dyDescent="0.3">
      <c r="A47" s="1">
        <v>4500</v>
      </c>
      <c r="B47" s="1">
        <v>207</v>
      </c>
      <c r="C47" s="1">
        <v>200</v>
      </c>
      <c r="E47">
        <f t="shared" si="0"/>
        <v>5</v>
      </c>
      <c r="F47">
        <f t="shared" si="1"/>
        <v>5</v>
      </c>
      <c r="AB47">
        <v>46</v>
      </c>
      <c r="AD47">
        <v>20</v>
      </c>
      <c r="AE47">
        <v>18</v>
      </c>
      <c r="AP47">
        <v>20</v>
      </c>
      <c r="AQ47">
        <v>18</v>
      </c>
      <c r="BY47">
        <v>46</v>
      </c>
      <c r="BZ47">
        <f t="shared" si="2"/>
        <v>-2</v>
      </c>
      <c r="CD47">
        <f t="shared" si="6"/>
        <v>-2</v>
      </c>
    </row>
    <row r="48" spans="1:82" x14ac:dyDescent="0.3">
      <c r="A48" s="1">
        <v>4600</v>
      </c>
      <c r="B48" s="1">
        <v>211</v>
      </c>
      <c r="C48" s="1">
        <v>204</v>
      </c>
      <c r="E48">
        <f t="shared" si="0"/>
        <v>4</v>
      </c>
      <c r="F48">
        <f t="shared" si="1"/>
        <v>4</v>
      </c>
      <c r="AB48">
        <v>47</v>
      </c>
      <c r="AD48">
        <v>20</v>
      </c>
      <c r="AE48">
        <v>18</v>
      </c>
      <c r="AP48">
        <v>20</v>
      </c>
      <c r="AQ48">
        <v>19</v>
      </c>
      <c r="BY48">
        <v>47</v>
      </c>
      <c r="BZ48">
        <f t="shared" si="2"/>
        <v>-2</v>
      </c>
      <c r="CD48">
        <f t="shared" si="6"/>
        <v>-1</v>
      </c>
    </row>
    <row r="49" spans="1:82" x14ac:dyDescent="0.3">
      <c r="A49" s="1">
        <v>4700</v>
      </c>
      <c r="B49" s="1">
        <v>215</v>
      </c>
      <c r="C49" s="1">
        <v>211</v>
      </c>
      <c r="E49">
        <f t="shared" si="0"/>
        <v>4</v>
      </c>
      <c r="F49">
        <f t="shared" si="1"/>
        <v>7</v>
      </c>
      <c r="AB49">
        <v>48</v>
      </c>
      <c r="AD49">
        <v>20</v>
      </c>
      <c r="AE49">
        <v>19</v>
      </c>
      <c r="AP49">
        <v>20</v>
      </c>
      <c r="AQ49">
        <v>19</v>
      </c>
      <c r="BY49">
        <v>48</v>
      </c>
      <c r="BZ49">
        <f t="shared" si="2"/>
        <v>-1</v>
      </c>
      <c r="CD49">
        <f t="shared" si="6"/>
        <v>-1</v>
      </c>
    </row>
    <row r="50" spans="1:82" x14ac:dyDescent="0.3">
      <c r="A50" s="1">
        <v>4800</v>
      </c>
      <c r="B50" s="1">
        <v>221</v>
      </c>
      <c r="C50" s="1">
        <v>217</v>
      </c>
      <c r="E50">
        <f t="shared" si="0"/>
        <v>6</v>
      </c>
      <c r="F50">
        <f t="shared" si="1"/>
        <v>6</v>
      </c>
      <c r="AB50">
        <v>49</v>
      </c>
      <c r="AD50">
        <v>20</v>
      </c>
      <c r="AE50">
        <v>19</v>
      </c>
      <c r="BY50">
        <v>49</v>
      </c>
      <c r="BZ50">
        <f t="shared" si="2"/>
        <v>-1</v>
      </c>
    </row>
    <row r="51" spans="1:82" x14ac:dyDescent="0.3">
      <c r="A51" s="1">
        <v>4900</v>
      </c>
      <c r="B51" s="1">
        <v>226</v>
      </c>
      <c r="C51" s="1">
        <v>221</v>
      </c>
      <c r="E51">
        <f t="shared" si="0"/>
        <v>5</v>
      </c>
      <c r="F51">
        <f t="shared" si="1"/>
        <v>4</v>
      </c>
      <c r="AB51" t="s">
        <v>16</v>
      </c>
      <c r="AD51">
        <v>20</v>
      </c>
      <c r="AE51">
        <v>20</v>
      </c>
      <c r="AG51">
        <v>20</v>
      </c>
      <c r="AH51">
        <v>20</v>
      </c>
      <c r="AJ51">
        <v>20</v>
      </c>
      <c r="AK51">
        <v>22</v>
      </c>
      <c r="AM51">
        <v>20</v>
      </c>
      <c r="AN51">
        <v>20</v>
      </c>
      <c r="AP51">
        <v>20</v>
      </c>
      <c r="AQ51">
        <v>20</v>
      </c>
    </row>
    <row r="52" spans="1:82" x14ac:dyDescent="0.3">
      <c r="A52" s="1">
        <v>5000</v>
      </c>
      <c r="B52" s="1">
        <v>230</v>
      </c>
      <c r="C52" s="1">
        <v>225</v>
      </c>
      <c r="E52">
        <f t="shared" si="0"/>
        <v>4</v>
      </c>
      <c r="F52">
        <f t="shared" si="1"/>
        <v>4</v>
      </c>
    </row>
    <row r="53" spans="1:82" x14ac:dyDescent="0.3">
      <c r="A53" s="1">
        <v>5100</v>
      </c>
      <c r="B53" s="1">
        <v>235</v>
      </c>
      <c r="C53" s="1">
        <v>230</v>
      </c>
      <c r="E53">
        <f t="shared" si="0"/>
        <v>5</v>
      </c>
      <c r="F53">
        <f t="shared" si="1"/>
        <v>5</v>
      </c>
    </row>
    <row r="54" spans="1:82" x14ac:dyDescent="0.3">
      <c r="A54" s="1">
        <v>5200</v>
      </c>
      <c r="B54" s="1">
        <v>239</v>
      </c>
      <c r="C54" s="1">
        <v>234</v>
      </c>
      <c r="E54">
        <f t="shared" si="0"/>
        <v>4</v>
      </c>
      <c r="F54">
        <f t="shared" si="1"/>
        <v>4</v>
      </c>
    </row>
    <row r="55" spans="1:82" x14ac:dyDescent="0.3">
      <c r="A55" s="1">
        <v>5300</v>
      </c>
      <c r="B55" s="1">
        <v>247</v>
      </c>
      <c r="C55" s="1">
        <v>241</v>
      </c>
      <c r="E55">
        <f t="shared" si="0"/>
        <v>8</v>
      </c>
      <c r="F55">
        <f t="shared" si="1"/>
        <v>7</v>
      </c>
    </row>
    <row r="56" spans="1:82" x14ac:dyDescent="0.3">
      <c r="A56" s="1">
        <v>5400</v>
      </c>
      <c r="B56" s="1">
        <v>252</v>
      </c>
      <c r="C56" s="1">
        <v>245</v>
      </c>
      <c r="E56">
        <f t="shared" si="0"/>
        <v>5</v>
      </c>
      <c r="F56">
        <f t="shared" si="1"/>
        <v>4</v>
      </c>
    </row>
    <row r="57" spans="1:82" x14ac:dyDescent="0.3">
      <c r="A57" s="1">
        <v>5500</v>
      </c>
      <c r="B57" s="1">
        <v>260</v>
      </c>
      <c r="C57" s="1">
        <v>249</v>
      </c>
      <c r="E57">
        <f t="shared" si="0"/>
        <v>8</v>
      </c>
      <c r="F57">
        <f t="shared" si="1"/>
        <v>4</v>
      </c>
    </row>
    <row r="58" spans="1:82" x14ac:dyDescent="0.3">
      <c r="A58" s="1">
        <v>5600</v>
      </c>
      <c r="B58" s="1">
        <v>264</v>
      </c>
      <c r="C58" s="1">
        <v>253</v>
      </c>
      <c r="E58">
        <f t="shared" si="0"/>
        <v>4</v>
      </c>
      <c r="F58">
        <f t="shared" si="1"/>
        <v>4</v>
      </c>
    </row>
    <row r="59" spans="1:82" x14ac:dyDescent="0.3">
      <c r="A59" s="1">
        <v>5700</v>
      </c>
      <c r="B59" s="1">
        <v>268</v>
      </c>
      <c r="C59" s="1">
        <v>258</v>
      </c>
      <c r="E59">
        <f t="shared" si="0"/>
        <v>4</v>
      </c>
      <c r="F59">
        <f t="shared" si="1"/>
        <v>5</v>
      </c>
    </row>
    <row r="60" spans="1:82" x14ac:dyDescent="0.3">
      <c r="A60" s="1">
        <v>5800</v>
      </c>
      <c r="B60" s="1">
        <v>273</v>
      </c>
      <c r="C60" s="1">
        <v>266</v>
      </c>
      <c r="E60">
        <f t="shared" si="0"/>
        <v>5</v>
      </c>
      <c r="F60">
        <f t="shared" si="1"/>
        <v>8</v>
      </c>
    </row>
    <row r="61" spans="1:82" x14ac:dyDescent="0.3">
      <c r="A61" s="1">
        <v>5900</v>
      </c>
      <c r="B61" s="1">
        <v>279</v>
      </c>
      <c r="C61" s="1">
        <v>270</v>
      </c>
      <c r="E61">
        <f t="shared" si="0"/>
        <v>6</v>
      </c>
      <c r="F61">
        <f t="shared" si="1"/>
        <v>4</v>
      </c>
    </row>
    <row r="62" spans="1:82" x14ac:dyDescent="0.3">
      <c r="A62" s="1">
        <v>6000</v>
      </c>
      <c r="B62" s="1">
        <v>285</v>
      </c>
      <c r="C62" s="1">
        <v>275</v>
      </c>
      <c r="E62">
        <f t="shared" si="0"/>
        <v>6</v>
      </c>
      <c r="F62">
        <f t="shared" si="1"/>
        <v>5</v>
      </c>
    </row>
    <row r="63" spans="1:82" x14ac:dyDescent="0.3">
      <c r="A63" s="1">
        <v>6100</v>
      </c>
      <c r="B63" s="1">
        <v>292</v>
      </c>
      <c r="C63" s="1">
        <v>279</v>
      </c>
      <c r="E63">
        <f t="shared" si="0"/>
        <v>7</v>
      </c>
      <c r="F63">
        <f t="shared" si="1"/>
        <v>4</v>
      </c>
    </row>
    <row r="64" spans="1:82" x14ac:dyDescent="0.3">
      <c r="A64" s="1">
        <v>6200</v>
      </c>
      <c r="B64" s="1">
        <v>298</v>
      </c>
      <c r="C64" s="1">
        <v>283</v>
      </c>
      <c r="E64">
        <f t="shared" si="0"/>
        <v>6</v>
      </c>
      <c r="F64">
        <f t="shared" si="1"/>
        <v>4</v>
      </c>
    </row>
    <row r="65" spans="1:6" x14ac:dyDescent="0.3">
      <c r="A65" s="1">
        <v>6300</v>
      </c>
      <c r="B65" s="1">
        <v>302</v>
      </c>
      <c r="C65" s="1">
        <v>289</v>
      </c>
      <c r="E65">
        <f t="shared" si="0"/>
        <v>4</v>
      </c>
      <c r="F65">
        <f t="shared" si="1"/>
        <v>6</v>
      </c>
    </row>
    <row r="66" spans="1:6" x14ac:dyDescent="0.3">
      <c r="A66" s="1">
        <v>6400</v>
      </c>
      <c r="B66" s="1">
        <v>307</v>
      </c>
      <c r="C66" s="1">
        <v>294</v>
      </c>
      <c r="E66">
        <f t="shared" si="0"/>
        <v>5</v>
      </c>
      <c r="F66">
        <f t="shared" si="1"/>
        <v>5</v>
      </c>
    </row>
    <row r="67" spans="1:6" x14ac:dyDescent="0.3">
      <c r="A67" s="1">
        <v>6500</v>
      </c>
      <c r="B67" s="1">
        <v>311</v>
      </c>
      <c r="C67" s="1">
        <v>298</v>
      </c>
      <c r="E67">
        <f t="shared" ref="E67:F67" si="7">B67-B66</f>
        <v>4</v>
      </c>
      <c r="F67">
        <f t="shared" si="7"/>
        <v>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2026-03-09T21:20:08Z</dcterms:created>
  <dcterms:modified xsi:type="dcterms:W3CDTF">2026-04-28T15:53:46Z</dcterms:modified>
</cp:coreProperties>
</file>